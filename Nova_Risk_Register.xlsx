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ironman/Desktop/"/>
    </mc:Choice>
  </mc:AlternateContent>
  <xr:revisionPtr revIDLastSave="0" documentId="13_ncr:1_{24CDB1D9-1A6B-B942-9F6E-B2500603ED6C}" xr6:coauthVersionLast="47" xr6:coauthVersionMax="47" xr10:uidLastSave="{00000000-0000-0000-0000-000000000000}"/>
  <bookViews>
    <workbookView xWindow="3860" yWindow="580" windowWidth="21740" windowHeight="16060" xr2:uid="{00000000-000D-0000-FFFF-FFFF00000000}"/>
  </bookViews>
  <sheets>
    <sheet name="Risk Register" sheetId="1" r:id="rId1"/>
    <sheet name="Risk Scoring Guide" sheetId="2" r:id="rId2"/>
  </sheets>
  <definedNames>
    <definedName name="_xlnm._FilterDatabase" localSheetId="0" hidden="1">'Risk Register'!$A$3:$N$25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M25" i="1" s="1"/>
  <c r="G25" i="1"/>
  <c r="H25" i="1" s="1"/>
  <c r="L24" i="1"/>
  <c r="M24" i="1" s="1"/>
  <c r="G24" i="1"/>
  <c r="H24" i="1" s="1"/>
  <c r="L23" i="1"/>
  <c r="M23" i="1" s="1"/>
  <c r="G23" i="1"/>
  <c r="H23" i="1" s="1"/>
  <c r="L22" i="1"/>
  <c r="M22" i="1" s="1"/>
  <c r="G22" i="1"/>
  <c r="H22" i="1" s="1"/>
  <c r="L21" i="1"/>
  <c r="M21" i="1" s="1"/>
  <c r="G21" i="1"/>
  <c r="H21" i="1" s="1"/>
  <c r="L20" i="1"/>
  <c r="M20" i="1" s="1"/>
  <c r="G20" i="1"/>
  <c r="H20" i="1" s="1"/>
  <c r="L19" i="1"/>
  <c r="M19" i="1" s="1"/>
  <c r="G19" i="1"/>
  <c r="H19" i="1" s="1"/>
  <c r="L18" i="1"/>
  <c r="M18" i="1" s="1"/>
  <c r="G18" i="1"/>
  <c r="H18" i="1" s="1"/>
  <c r="L17" i="1"/>
  <c r="M17" i="1" s="1"/>
  <c r="G17" i="1"/>
  <c r="H17" i="1" s="1"/>
  <c r="L16" i="1"/>
  <c r="M16" i="1" s="1"/>
  <c r="G16" i="1"/>
  <c r="H16" i="1" s="1"/>
  <c r="L15" i="1"/>
  <c r="M15" i="1" s="1"/>
  <c r="G15" i="1"/>
  <c r="H15" i="1" s="1"/>
  <c r="L14" i="1"/>
  <c r="M14" i="1" s="1"/>
  <c r="G14" i="1"/>
  <c r="H14" i="1" s="1"/>
  <c r="L13" i="1"/>
  <c r="M13" i="1" s="1"/>
  <c r="G13" i="1"/>
  <c r="H13" i="1" s="1"/>
  <c r="L12" i="1"/>
  <c r="M12" i="1" s="1"/>
  <c r="G12" i="1"/>
  <c r="H12" i="1" s="1"/>
  <c r="L11" i="1"/>
  <c r="M11" i="1" s="1"/>
  <c r="G11" i="1"/>
  <c r="H11" i="1" s="1"/>
  <c r="L10" i="1"/>
  <c r="M10" i="1" s="1"/>
  <c r="G10" i="1"/>
  <c r="H10" i="1" s="1"/>
  <c r="L9" i="1"/>
  <c r="M9" i="1" s="1"/>
  <c r="G9" i="1"/>
  <c r="H9" i="1" s="1"/>
  <c r="L8" i="1"/>
  <c r="M8" i="1" s="1"/>
  <c r="G8" i="1"/>
  <c r="H8" i="1" s="1"/>
  <c r="L7" i="1"/>
  <c r="M7" i="1" s="1"/>
  <c r="G7" i="1"/>
  <c r="H7" i="1" s="1"/>
  <c r="L6" i="1"/>
  <c r="M6" i="1" s="1"/>
  <c r="G6" i="1"/>
  <c r="H6" i="1" s="1"/>
  <c r="L5" i="1"/>
  <c r="M5" i="1" s="1"/>
  <c r="G5" i="1"/>
  <c r="H5" i="1" s="1"/>
  <c r="L4" i="1"/>
  <c r="M4" i="1" s="1"/>
  <c r="G4" i="1"/>
  <c r="H4" i="1" s="1"/>
</calcChain>
</file>

<file path=xl/sharedStrings.xml><?xml version="1.0" encoding="utf-8"?>
<sst xmlns="http://schemas.openxmlformats.org/spreadsheetml/2006/main" count="225" uniqueCount="212">
  <si>
    <t>NovaCrest Financial Services Ltd — ISO 27001:2022 Information Security Risk Register</t>
  </si>
  <si>
    <t>Risk ID</t>
  </si>
  <si>
    <t>Asset / Area</t>
  </si>
  <si>
    <t>Threat</t>
  </si>
  <si>
    <t>Vulnerability</t>
  </si>
  <si>
    <t>Likelihood
(1–5)</t>
  </si>
  <si>
    <t>Impact
(1–5)</t>
  </si>
  <si>
    <t>Inherent
Risk Score</t>
  </si>
  <si>
    <t>Inherent
Risk Level</t>
  </si>
  <si>
    <t>Control(s) in Place</t>
  </si>
  <si>
    <t>Residual
Likelihood</t>
  </si>
  <si>
    <t>Residual
Impact</t>
  </si>
  <si>
    <t>Residual
Risk Score</t>
  </si>
  <si>
    <t>Risk
Level</t>
  </si>
  <si>
    <t>Treatment / Owner</t>
  </si>
  <si>
    <t>R-001</t>
  </si>
  <si>
    <t>Core banking platform</t>
  </si>
  <si>
    <t>Ransomware attack</t>
  </si>
  <si>
    <t>Unpatched systems; insufficient backup testing</t>
  </si>
  <si>
    <t>Endpoint protection, weekly patching, daily backups</t>
  </si>
  <si>
    <t>Implement immutable backups, test DR quarterly | IT Director</t>
  </si>
  <si>
    <t>R-002</t>
  </si>
  <si>
    <t>Customer PII database</t>
  </si>
  <si>
    <t>Unauthorised access by insider</t>
  </si>
  <si>
    <t>Excessive access rights; no PIM</t>
  </si>
  <si>
    <t>RBAC implemented, annual access review</t>
  </si>
  <si>
    <t>Implement PIM, quarterly access reviews | CISO</t>
  </si>
  <si>
    <t>R-003</t>
  </si>
  <si>
    <t>Payment processing system</t>
  </si>
  <si>
    <t>Card data theft</t>
  </si>
  <si>
    <t>Inadequate network segmentation</t>
  </si>
  <si>
    <t>Firewall rules, PCI DSS zone segmentation</t>
  </si>
  <si>
    <t>Annual PCI DSS assessment, penetration test | IT Director</t>
  </si>
  <si>
    <t>R-004</t>
  </si>
  <si>
    <t>Email system</t>
  </si>
  <si>
    <t>Phishing / business email compromise</t>
  </si>
  <si>
    <t>Staff susceptibility to social engineering</t>
  </si>
  <si>
    <t>Email filtering, annual awareness training</t>
  </si>
  <si>
    <t>Implement phishing simulation programme | HR/IS</t>
  </si>
  <si>
    <t>R-005</t>
  </si>
  <si>
    <t>Third-party supplier access</t>
  </si>
  <si>
    <t>Supply chain compromise</t>
  </si>
  <si>
    <t>Ad hoc vendor assessments; no formal TPRM</t>
  </si>
  <si>
    <t>Contractual security clauses in place</t>
  </si>
  <si>
    <t>Implement formal TPRM process for all Tier 1/2 vendors | Procurement</t>
  </si>
  <si>
    <t>R-006</t>
  </si>
  <si>
    <t>Cloud (Azure) infrastructure</t>
  </si>
  <si>
    <t>Misconfiguration leading to data exposure</t>
  </si>
  <si>
    <t>Lack of cloud security baseline / CSPM</t>
  </si>
  <si>
    <t>Azure Policy in partial use</t>
  </si>
  <si>
    <t>Enable Defender for Cloud, implement CIS Benchmark | IT Director</t>
  </si>
  <si>
    <t>R-007</t>
  </si>
  <si>
    <t>Physical offices</t>
  </si>
  <si>
    <t>Unauthorised physical access</t>
  </si>
  <si>
    <t>Visitor management process informal</t>
  </si>
  <si>
    <t>CCTV, access card system</t>
  </si>
  <si>
    <t>Formalise visitor policy, implement sign-in log | Facilities</t>
  </si>
  <si>
    <t>R-008</t>
  </si>
  <si>
    <t>Employee devices</t>
  </si>
  <si>
    <t>Theft / loss of device containing sensitive data</t>
  </si>
  <si>
    <t>Not all devices encrypted</t>
  </si>
  <si>
    <t>BitLocker enabled on 80% of devices</t>
  </si>
  <si>
    <t>Enforce full-disk encryption on all devices via MDM | IT Director</t>
  </si>
  <si>
    <t>R-009</t>
  </si>
  <si>
    <t>GDPR personal data processing</t>
  </si>
  <si>
    <t>ICO investigation / regulatory fine</t>
  </si>
  <si>
    <t>Privacy notices not recently reviewed</t>
  </si>
  <si>
    <t>GDPR Article 30 records maintained</t>
  </si>
  <si>
    <t>Annual review of privacy notices and processing activities | DPO</t>
  </si>
  <si>
    <t>R-010</t>
  </si>
  <si>
    <t>Change management</t>
  </si>
  <si>
    <t>System outage from uncontrolled change</t>
  </si>
  <si>
    <t>No formal change management process</t>
  </si>
  <si>
    <t>Informal change log maintained</t>
  </si>
  <si>
    <t>Implement formal CAB process; document change management policy | IT Director</t>
  </si>
  <si>
    <t>R-011</t>
  </si>
  <si>
    <t>Business continuity</t>
  </si>
  <si>
    <t>Extended outage from major incident</t>
  </si>
  <si>
    <t>BCP not tested in 2 years</t>
  </si>
  <si>
    <t>BCP document exists</t>
  </si>
  <si>
    <t>Annual BCP test; update recovery time objectives | CISO</t>
  </si>
  <si>
    <t>R-012</t>
  </si>
  <si>
    <t>Security awareness</t>
  </si>
  <si>
    <t>Compliance failure from staff error</t>
  </si>
  <si>
    <t>Training not tracked; no completion records</t>
  </si>
  <si>
    <t>Annual training delivered but untracked</t>
  </si>
  <si>
    <t>Implement LMS tracking; mandate 100% completion | HR/IS</t>
  </si>
  <si>
    <t>R-013</t>
  </si>
  <si>
    <t>Open Banking API (Payment Services)</t>
  </si>
  <si>
    <t>Exploitation of insecure API endpoints by external attackers</t>
  </si>
  <si>
    <t>APIs lack rate limiting, input validation and OAuth 2.0 token expiry enforcement</t>
  </si>
  <si>
    <t>OAuth 2.0 implemented on primary endpoints; API gateway with basic WAF rules in place</t>
  </si>
  <si>
    <t>Implement API rate limiting and input validation on all endpoints; quarterly pen test of API layer | IT Director</t>
  </si>
  <si>
    <t>R-014</t>
  </si>
  <si>
    <t>Core Banking Platform</t>
  </si>
  <si>
    <t>Insider threat — fraudulent transaction manipulation by privileged user</t>
  </si>
  <si>
    <t>Insufficient segregation of duties; no real-time transaction anomaly detection</t>
  </si>
  <si>
    <t>Maker-checker controls on high-value transactions; annual access review</t>
  </si>
  <si>
    <t>Implement real-time transaction monitoring; enforce 4-eyes principle on all transactions above £10,000; deploy User Behaviour Analytics (UBA) | CISO</t>
  </si>
  <si>
    <t>R-015</t>
  </si>
  <si>
    <t>Customer PII — 85,000 records</t>
  </si>
  <si>
    <t>Data breach via SQL injection on customer-facing web portal</t>
  </si>
  <si>
    <t>Web application not subject to regular DAST scanning; no WAF in front of portal</t>
  </si>
  <si>
    <t>Input sanitisation applied at application layer; TLS 1.2+ in transit</t>
  </si>
  <si>
    <t>Deploy WAF in front of customer portal; implement quarterly DAST scanning; conduct annual penetration test | IT Director</t>
  </si>
  <si>
    <t>R-016</t>
  </si>
  <si>
    <t>FCA Regulatory Compliance</t>
  </si>
  <si>
    <t>Regulatory breach — failure to report material cyber incident within FCA timescales</t>
  </si>
  <si>
    <t>Incident classification criteria not clearly defined; FCA notification workflow not documented</t>
  </si>
  <si>
    <t>Incident Response Plan v2.1 in place; CISO assigned as primary regulatory contact</t>
  </si>
  <si>
    <t>Document FCA incident notification workflow with clear classification criteria and escalation timelines; test annually via tabletop exercise | CISO</t>
  </si>
  <si>
    <t>R-017</t>
  </si>
  <si>
    <t>Payment Processing Infrastructure</t>
  </si>
  <si>
    <t>Card skimming or tampering with payment integration leading to cardholder data theft</t>
  </si>
  <si>
    <t>PCI DSS scope not formally validated since infrastructure changes in 2024; network segmentation gaps possible</t>
  </si>
  <si>
    <t>Firewall-segmented cardholder data environment; PCI DSS SAQ completed annually</t>
  </si>
  <si>
    <t>Commission formal PCI DSS Qualified Security Assessor (QSA) scoping review; re-validate network segmentation after infrastructure changes | IT Director</t>
  </si>
  <si>
    <t>R-018</t>
  </si>
  <si>
    <t>Remote Working Infrastructure</t>
  </si>
  <si>
    <t>Man-in-the-middle attack on remote worker traffic intercepting customer data</t>
  </si>
  <si>
    <t>Not all remote workers use VPN consistently; split tunnelling permitted on some devices</t>
  </si>
  <si>
    <t>VPN mandatory policy communicated; MDM enforced on corporate devices</t>
  </si>
  <si>
    <t>Enforce always-on VPN via MDM policy; disable split tunnelling; implement DNS filtering for remote workers | IT Director</t>
  </si>
  <si>
    <t>R-019</t>
  </si>
  <si>
    <t>Azure Cloud Environment</t>
  </si>
  <si>
    <t>Privilege escalation via misconfigured Azure RBAC role assignment</t>
  </si>
  <si>
    <t>Azure role assignments not reviewed regularly; over-permissive custom roles in use</t>
  </si>
  <si>
    <t>RBAC in use; annual access review conducted</t>
  </si>
  <si>
    <t>Implement quarterly Azure RBAC review; replace custom roles with least-privilege built-in roles; enable PIM for all privileged Azure roles | IT Director</t>
  </si>
  <si>
    <t>R-020</t>
  </si>
  <si>
    <t>Wealth Management Portal</t>
  </si>
  <si>
    <t>Account takeover via credential stuffing attack against customer login</t>
  </si>
  <si>
    <t>No rate limiting on login attempts; MFA not mandatory for all customer accounts</t>
  </si>
  <si>
    <t>Password complexity enforced; CAPTCHA on login page</t>
  </si>
  <si>
    <t>Enforce MFA for all customer accounts; implement adaptive authentication (risk-based); deploy account lockout after 5 failed attempts | IT Director</t>
  </si>
  <si>
    <t>R-021</t>
  </si>
  <si>
    <t>Third-Party Cloud Provider (Azure)</t>
  </si>
  <si>
    <t>Cloud provider outage causing unavailability of core banking services</t>
  </si>
  <si>
    <t>No multi-region failover configured; all workloads in single Azure region (UK South)</t>
  </si>
  <si>
    <t>Azure SLA (99.9%) relied upon; basic DR plan documented</t>
  </si>
  <si>
    <t>Design and implement active-passive DR configuration across Azure UK South and UK West; define and test RTO/RPO targets; include in annual BCP test | IT Director</t>
  </si>
  <si>
    <t>R-022</t>
  </si>
  <si>
    <t>HR Onboarding / Offboarding Process</t>
  </si>
  <si>
    <t>Residual access retained by departed employee enabling unauthorised system access</t>
  </si>
  <si>
    <t>Offboarding process not consistently followed; no automated deprovisioning linked to HR system</t>
  </si>
  <si>
    <t>Leavers checklist in place; IT notified manually by HR on employee departure</t>
  </si>
  <si>
    <t>Integrate HR system with Azure AD for automated deprovisioning on employee termination; conduct quarterly audit of accounts for departed staff | HR / IT Director</t>
  </si>
  <si>
    <t>Risk Scoring Methodology — NovaCrest Financial Services Ltd</t>
  </si>
  <si>
    <t>Likelihood Scale</t>
  </si>
  <si>
    <t>Score</t>
  </si>
  <si>
    <t>Rating</t>
  </si>
  <si>
    <t>Description</t>
  </si>
  <si>
    <t>Frequency</t>
  </si>
  <si>
    <t>Rare</t>
  </si>
  <si>
    <t>Highly unlikely — would require exceptional circumstances</t>
  </si>
  <si>
    <t>Less than once every 5 years</t>
  </si>
  <si>
    <t>Unlikely</t>
  </si>
  <si>
    <t>Could occur but not expected</t>
  </si>
  <si>
    <t>Once every 2–5 years</t>
  </si>
  <si>
    <t>Possible</t>
  </si>
  <si>
    <t>Might occur at some point</t>
  </si>
  <si>
    <t>Once every 1–2 years</t>
  </si>
  <si>
    <t>Likely</t>
  </si>
  <si>
    <t>Will probably occur in most circumstances</t>
  </si>
  <si>
    <t>Once or more per year</t>
  </si>
  <si>
    <t>Almost Certain</t>
  </si>
  <si>
    <t>Expected to occur regularly</t>
  </si>
  <si>
    <t>Multiple times per year</t>
  </si>
  <si>
    <t>Impact Scale</t>
  </si>
  <si>
    <t>Financial Impact</t>
  </si>
  <si>
    <t>Reputational Impact</t>
  </si>
  <si>
    <t>Negligible</t>
  </si>
  <si>
    <t>&lt; £10,000</t>
  </si>
  <si>
    <t>Minimal — internal notice only</t>
  </si>
  <si>
    <t>Minor</t>
  </si>
  <si>
    <t>£10,000–£100,000</t>
  </si>
  <si>
    <t>Limited — minor press coverage</t>
  </si>
  <si>
    <t>Moderate</t>
  </si>
  <si>
    <t>£100,000–£500,000</t>
  </si>
  <si>
    <t>Significant — customer complaints, regulatory enquiry</t>
  </si>
  <si>
    <t>Major</t>
  </si>
  <si>
    <t>£500,000–£2m</t>
  </si>
  <si>
    <t>Serious — regulatory fine, significant brand damage</t>
  </si>
  <si>
    <t>Catastrophic</t>
  </si>
  <si>
    <t>&gt; £2m or regulatory action</t>
  </si>
  <si>
    <t>Severe — FCA enforcement, potential loss of authorisation</t>
  </si>
  <si>
    <t>Risk Level Matrix (Likelihood × Impact)</t>
  </si>
  <si>
    <t>L=1</t>
  </si>
  <si>
    <t>L=2</t>
  </si>
  <si>
    <t>L=3</t>
  </si>
  <si>
    <t>L=4</t>
  </si>
  <si>
    <t>L=5</t>
  </si>
  <si>
    <t>I=5</t>
  </si>
  <si>
    <t>5
MEDIUM</t>
  </si>
  <si>
    <t>10
HIGH</t>
  </si>
  <si>
    <t>15
HIGH</t>
  </si>
  <si>
    <t>20
CRITICAL</t>
  </si>
  <si>
    <t>25
CRITICAL</t>
  </si>
  <si>
    <t>I=4</t>
  </si>
  <si>
    <t>4
LOW</t>
  </si>
  <si>
    <t>8
MEDIUM</t>
  </si>
  <si>
    <t>12
HIGH</t>
  </si>
  <si>
    <t>16
CRITICAL</t>
  </si>
  <si>
    <t>I=3</t>
  </si>
  <si>
    <t>3
LOW</t>
  </si>
  <si>
    <t>6
MEDIUM</t>
  </si>
  <si>
    <t>9
MEDIUM</t>
  </si>
  <si>
    <t>I=2</t>
  </si>
  <si>
    <t>2
LOW</t>
  </si>
  <si>
    <t>I=1</t>
  </si>
  <si>
    <t>1
LOW</t>
  </si>
  <si>
    <t>Version 1.0 | 07 March 2026 | Owner: CISO | Classification: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</si>
</sst>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1A1A1A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b/>
      <sz val="10"/>
      <color rgb="FF1A1A1A"/>
      <name val="Calibri"/>
      <family val="2"/>
    </font>
    <font>
      <b/>
      <sz val="10"/>
      <color rgb="FF9C0006"/>
      <name val="Calibri"/>
      <family val="2"/>
    </font>
    <font>
      <b/>
      <sz val="10"/>
      <color rgb="FF9C5700"/>
      <name val="Calibri"/>
      <family val="2"/>
    </font>
    <font>
      <b/>
      <sz val="10"/>
      <color rgb="FF276221"/>
      <name val="Calibri"/>
      <family val="2"/>
    </font>
    <font>
      <b/>
      <sz val="10"/>
      <color rgb="FF1F4E79"/>
      <name val="Calibri"/>
      <family val="2"/>
    </font>
    <font>
      <b/>
      <sz val="12"/>
      <color rgb="FF1F3864"/>
      <name val="Calibri"/>
      <family val="2"/>
    </font>
    <font>
      <b/>
      <sz val="9"/>
      <color rgb="FF276221"/>
      <name val="Calibri"/>
      <family val="2"/>
    </font>
    <font>
      <b/>
      <sz val="9"/>
      <color rgb="FF9C5700"/>
      <name val="Calibri"/>
      <family val="2"/>
    </font>
    <font>
      <b/>
      <sz val="9"/>
      <color rgb="FF9C0006"/>
      <name val="Calibri"/>
      <family val="2"/>
    </font>
    <font>
      <b/>
      <sz val="9"/>
      <color rgb="FF1F4E7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showGridLines="0" tabSelected="1" workbookViewId="0">
      <pane ySplit="3" topLeftCell="A4" activePane="bottomLeft" state="frozen"/>
      <selection pane="bottomLeft" activeCell="A2" sqref="A2:N2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4" width="22" customWidth="1"/>
    <col min="5" max="7" width="10" customWidth="1"/>
    <col min="8" max="8" width="12" customWidth="1"/>
    <col min="9" max="9" width="30" customWidth="1"/>
    <col min="10" max="12" width="10" customWidth="1"/>
    <col min="13" max="13" width="12" customWidth="1"/>
    <col min="14" max="14" width="28" customWidth="1"/>
  </cols>
  <sheetData>
    <row r="1" spans="1:14" ht="28" customHeight="1" x14ac:dyDescent="0.2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2">
      <c r="A2" s="24" t="s">
        <v>211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3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42" customHeigh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3">
        <v>4</v>
      </c>
      <c r="F4" s="3">
        <v>5</v>
      </c>
      <c r="G4" s="4">
        <f t="shared" ref="G4:G25" si="0">E4*F4</f>
        <v>20</v>
      </c>
      <c r="H4" s="5" t="str">
        <f t="shared" ref="H4:H25" si="1">IF(G4&gt;=16,"CRITICAL",IF(G4&gt;=10,"HIGH",IF(G4&gt;=5,"MEDIUM","LOW")))</f>
        <v>CRITICAL</v>
      </c>
      <c r="I4" s="2" t="s">
        <v>19</v>
      </c>
      <c r="J4" s="3">
        <v>2</v>
      </c>
      <c r="K4" s="3">
        <v>5</v>
      </c>
      <c r="L4" s="4">
        <f t="shared" ref="L4:L25" si="2">J4*K4</f>
        <v>10</v>
      </c>
      <c r="M4" s="6" t="str">
        <f t="shared" ref="M4:M25" si="3">IF(L4&gt;=16,"CRITICAL",IF(L4&gt;=10,"HIGH",IF(L4&gt;=5,"MEDIUM","LOW")))</f>
        <v>HIGH</v>
      </c>
      <c r="N4" s="2" t="s">
        <v>20</v>
      </c>
    </row>
    <row r="5" spans="1:14" ht="42" customHeight="1" x14ac:dyDescent="0.2">
      <c r="A5" s="7" t="s">
        <v>21</v>
      </c>
      <c r="B5" s="7" t="s">
        <v>22</v>
      </c>
      <c r="C5" s="7" t="s">
        <v>23</v>
      </c>
      <c r="D5" s="7" t="s">
        <v>24</v>
      </c>
      <c r="E5" s="8">
        <v>3</v>
      </c>
      <c r="F5" s="8">
        <v>5</v>
      </c>
      <c r="G5" s="9">
        <f t="shared" si="0"/>
        <v>15</v>
      </c>
      <c r="H5" s="6" t="str">
        <f t="shared" si="1"/>
        <v>HIGH</v>
      </c>
      <c r="I5" s="7" t="s">
        <v>25</v>
      </c>
      <c r="J5" s="8">
        <v>2</v>
      </c>
      <c r="K5" s="8">
        <v>5</v>
      </c>
      <c r="L5" s="9">
        <f t="shared" si="2"/>
        <v>10</v>
      </c>
      <c r="M5" s="6" t="str">
        <f t="shared" si="3"/>
        <v>HIGH</v>
      </c>
      <c r="N5" s="7" t="s">
        <v>26</v>
      </c>
    </row>
    <row r="6" spans="1:14" ht="42" customHeight="1" x14ac:dyDescent="0.2">
      <c r="A6" s="2" t="s">
        <v>27</v>
      </c>
      <c r="B6" s="2" t="s">
        <v>28</v>
      </c>
      <c r="C6" s="2" t="s">
        <v>29</v>
      </c>
      <c r="D6" s="2" t="s">
        <v>30</v>
      </c>
      <c r="E6" s="3">
        <v>3</v>
      </c>
      <c r="F6" s="3">
        <v>5</v>
      </c>
      <c r="G6" s="4">
        <f t="shared" si="0"/>
        <v>15</v>
      </c>
      <c r="H6" s="6" t="str">
        <f t="shared" si="1"/>
        <v>HIGH</v>
      </c>
      <c r="I6" s="2" t="s">
        <v>31</v>
      </c>
      <c r="J6" s="3">
        <v>2</v>
      </c>
      <c r="K6" s="3">
        <v>5</v>
      </c>
      <c r="L6" s="4">
        <f t="shared" si="2"/>
        <v>10</v>
      </c>
      <c r="M6" s="6" t="str">
        <f t="shared" si="3"/>
        <v>HIGH</v>
      </c>
      <c r="N6" s="2" t="s">
        <v>32</v>
      </c>
    </row>
    <row r="7" spans="1:14" ht="42" customHeight="1" x14ac:dyDescent="0.2">
      <c r="A7" s="7" t="s">
        <v>33</v>
      </c>
      <c r="B7" s="7" t="s">
        <v>34</v>
      </c>
      <c r="C7" s="7" t="s">
        <v>35</v>
      </c>
      <c r="D7" s="7" t="s">
        <v>36</v>
      </c>
      <c r="E7" s="8">
        <v>4</v>
      </c>
      <c r="F7" s="8">
        <v>4</v>
      </c>
      <c r="G7" s="9">
        <f t="shared" si="0"/>
        <v>16</v>
      </c>
      <c r="H7" s="5" t="str">
        <f t="shared" si="1"/>
        <v>CRITICAL</v>
      </c>
      <c r="I7" s="7" t="s">
        <v>37</v>
      </c>
      <c r="J7" s="8">
        <v>3</v>
      </c>
      <c r="K7" s="8">
        <v>3</v>
      </c>
      <c r="L7" s="9">
        <f t="shared" si="2"/>
        <v>9</v>
      </c>
      <c r="M7" s="10" t="str">
        <f t="shared" si="3"/>
        <v>MEDIUM</v>
      </c>
      <c r="N7" s="7" t="s">
        <v>38</v>
      </c>
    </row>
    <row r="8" spans="1:14" ht="42" customHeight="1" x14ac:dyDescent="0.2">
      <c r="A8" s="2" t="s">
        <v>39</v>
      </c>
      <c r="B8" s="2" t="s">
        <v>40</v>
      </c>
      <c r="C8" s="2" t="s">
        <v>41</v>
      </c>
      <c r="D8" s="2" t="s">
        <v>42</v>
      </c>
      <c r="E8" s="3">
        <v>3</v>
      </c>
      <c r="F8" s="3">
        <v>5</v>
      </c>
      <c r="G8" s="4">
        <f t="shared" si="0"/>
        <v>15</v>
      </c>
      <c r="H8" s="6" t="str">
        <f t="shared" si="1"/>
        <v>HIGH</v>
      </c>
      <c r="I8" s="2" t="s">
        <v>43</v>
      </c>
      <c r="J8" s="3">
        <v>2</v>
      </c>
      <c r="K8" s="3">
        <v>4</v>
      </c>
      <c r="L8" s="4">
        <f t="shared" si="2"/>
        <v>8</v>
      </c>
      <c r="M8" s="10" t="str">
        <f t="shared" si="3"/>
        <v>MEDIUM</v>
      </c>
      <c r="N8" s="2" t="s">
        <v>44</v>
      </c>
    </row>
    <row r="9" spans="1:14" ht="42" customHeight="1" x14ac:dyDescent="0.2">
      <c r="A9" s="7" t="s">
        <v>45</v>
      </c>
      <c r="B9" s="7" t="s">
        <v>46</v>
      </c>
      <c r="C9" s="7" t="s">
        <v>47</v>
      </c>
      <c r="D9" s="7" t="s">
        <v>48</v>
      </c>
      <c r="E9" s="8">
        <v>4</v>
      </c>
      <c r="F9" s="8">
        <v>4</v>
      </c>
      <c r="G9" s="9">
        <f t="shared" si="0"/>
        <v>16</v>
      </c>
      <c r="H9" s="5" t="str">
        <f t="shared" si="1"/>
        <v>CRITICAL</v>
      </c>
      <c r="I9" s="7" t="s">
        <v>49</v>
      </c>
      <c r="J9" s="8">
        <v>2</v>
      </c>
      <c r="K9" s="8">
        <v>3</v>
      </c>
      <c r="L9" s="9">
        <f t="shared" si="2"/>
        <v>6</v>
      </c>
      <c r="M9" s="10" t="str">
        <f t="shared" si="3"/>
        <v>MEDIUM</v>
      </c>
      <c r="N9" s="7" t="s">
        <v>50</v>
      </c>
    </row>
    <row r="10" spans="1:14" ht="42" customHeight="1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3">
        <v>2</v>
      </c>
      <c r="F10" s="3">
        <v>3</v>
      </c>
      <c r="G10" s="4">
        <f t="shared" si="0"/>
        <v>6</v>
      </c>
      <c r="H10" s="10" t="str">
        <f t="shared" si="1"/>
        <v>MEDIUM</v>
      </c>
      <c r="I10" s="2" t="s">
        <v>55</v>
      </c>
      <c r="J10" s="3">
        <v>1</v>
      </c>
      <c r="K10" s="3">
        <v>3</v>
      </c>
      <c r="L10" s="4">
        <f t="shared" si="2"/>
        <v>3</v>
      </c>
      <c r="M10" s="11" t="str">
        <f t="shared" si="3"/>
        <v>LOW</v>
      </c>
      <c r="N10" s="2" t="s">
        <v>56</v>
      </c>
    </row>
    <row r="11" spans="1:14" ht="42" customHeight="1" x14ac:dyDescent="0.2">
      <c r="A11" s="7" t="s">
        <v>57</v>
      </c>
      <c r="B11" s="7" t="s">
        <v>58</v>
      </c>
      <c r="C11" s="7" t="s">
        <v>59</v>
      </c>
      <c r="D11" s="7" t="s">
        <v>60</v>
      </c>
      <c r="E11" s="8">
        <v>3</v>
      </c>
      <c r="F11" s="8">
        <v>4</v>
      </c>
      <c r="G11" s="9">
        <f t="shared" si="0"/>
        <v>12</v>
      </c>
      <c r="H11" s="6" t="str">
        <f t="shared" si="1"/>
        <v>HIGH</v>
      </c>
      <c r="I11" s="7" t="s">
        <v>61</v>
      </c>
      <c r="J11" s="8">
        <v>2</v>
      </c>
      <c r="K11" s="8">
        <v>4</v>
      </c>
      <c r="L11" s="9">
        <f t="shared" si="2"/>
        <v>8</v>
      </c>
      <c r="M11" s="10" t="str">
        <f t="shared" si="3"/>
        <v>MEDIUM</v>
      </c>
      <c r="N11" s="7" t="s">
        <v>62</v>
      </c>
    </row>
    <row r="12" spans="1:14" ht="42" customHeight="1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3">
        <v>2</v>
      </c>
      <c r="F12" s="3">
        <v>5</v>
      </c>
      <c r="G12" s="4">
        <f t="shared" si="0"/>
        <v>10</v>
      </c>
      <c r="H12" s="6" t="str">
        <f t="shared" si="1"/>
        <v>HIGH</v>
      </c>
      <c r="I12" s="2" t="s">
        <v>67</v>
      </c>
      <c r="J12" s="3">
        <v>1</v>
      </c>
      <c r="K12" s="3">
        <v>4</v>
      </c>
      <c r="L12" s="4">
        <f t="shared" si="2"/>
        <v>4</v>
      </c>
      <c r="M12" s="11" t="str">
        <f t="shared" si="3"/>
        <v>LOW</v>
      </c>
      <c r="N12" s="2" t="s">
        <v>68</v>
      </c>
    </row>
    <row r="13" spans="1:14" ht="42" customHeight="1" x14ac:dyDescent="0.2">
      <c r="A13" s="7" t="s">
        <v>69</v>
      </c>
      <c r="B13" s="7" t="s">
        <v>70</v>
      </c>
      <c r="C13" s="7" t="s">
        <v>71</v>
      </c>
      <c r="D13" s="7" t="s">
        <v>72</v>
      </c>
      <c r="E13" s="8">
        <v>3</v>
      </c>
      <c r="F13" s="8">
        <v>4</v>
      </c>
      <c r="G13" s="9">
        <f t="shared" si="0"/>
        <v>12</v>
      </c>
      <c r="H13" s="6" t="str">
        <f t="shared" si="1"/>
        <v>HIGH</v>
      </c>
      <c r="I13" s="7" t="s">
        <v>73</v>
      </c>
      <c r="J13" s="8">
        <v>2</v>
      </c>
      <c r="K13" s="8">
        <v>3</v>
      </c>
      <c r="L13" s="9">
        <f t="shared" si="2"/>
        <v>6</v>
      </c>
      <c r="M13" s="10" t="str">
        <f t="shared" si="3"/>
        <v>MEDIUM</v>
      </c>
      <c r="N13" s="7" t="s">
        <v>74</v>
      </c>
    </row>
    <row r="14" spans="1:14" ht="42" customHeight="1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3">
        <v>3</v>
      </c>
      <c r="F14" s="3">
        <v>5</v>
      </c>
      <c r="G14" s="4">
        <f t="shared" si="0"/>
        <v>15</v>
      </c>
      <c r="H14" s="6" t="str">
        <f t="shared" si="1"/>
        <v>HIGH</v>
      </c>
      <c r="I14" s="2" t="s">
        <v>79</v>
      </c>
      <c r="J14" s="3">
        <v>2</v>
      </c>
      <c r="K14" s="3">
        <v>4</v>
      </c>
      <c r="L14" s="4">
        <f t="shared" si="2"/>
        <v>8</v>
      </c>
      <c r="M14" s="10" t="str">
        <f t="shared" si="3"/>
        <v>MEDIUM</v>
      </c>
      <c r="N14" s="2" t="s">
        <v>80</v>
      </c>
    </row>
    <row r="15" spans="1:14" ht="42" customHeight="1" x14ac:dyDescent="0.2">
      <c r="A15" s="7" t="s">
        <v>81</v>
      </c>
      <c r="B15" s="7" t="s">
        <v>82</v>
      </c>
      <c r="C15" s="7" t="s">
        <v>83</v>
      </c>
      <c r="D15" s="7" t="s">
        <v>84</v>
      </c>
      <c r="E15" s="8">
        <v>3</v>
      </c>
      <c r="F15" s="8">
        <v>3</v>
      </c>
      <c r="G15" s="9">
        <f t="shared" si="0"/>
        <v>9</v>
      </c>
      <c r="H15" s="10" t="str">
        <f t="shared" si="1"/>
        <v>MEDIUM</v>
      </c>
      <c r="I15" s="7" t="s">
        <v>85</v>
      </c>
      <c r="J15" s="8">
        <v>2</v>
      </c>
      <c r="K15" s="8">
        <v>2</v>
      </c>
      <c r="L15" s="9">
        <f t="shared" si="2"/>
        <v>4</v>
      </c>
      <c r="M15" s="11" t="str">
        <f t="shared" si="3"/>
        <v>LOW</v>
      </c>
      <c r="N15" s="7" t="s">
        <v>86</v>
      </c>
    </row>
    <row r="16" spans="1:14" ht="52" customHeight="1" x14ac:dyDescent="0.2">
      <c r="A16" s="19" t="s">
        <v>87</v>
      </c>
      <c r="B16" s="2" t="s">
        <v>88</v>
      </c>
      <c r="C16" s="2" t="s">
        <v>89</v>
      </c>
      <c r="D16" s="2" t="s">
        <v>90</v>
      </c>
      <c r="E16" s="3">
        <v>4</v>
      </c>
      <c r="F16" s="3">
        <v>5</v>
      </c>
      <c r="G16" s="4">
        <f t="shared" si="0"/>
        <v>20</v>
      </c>
      <c r="H16" s="5" t="str">
        <f t="shared" si="1"/>
        <v>CRITICAL</v>
      </c>
      <c r="I16" s="2" t="s">
        <v>91</v>
      </c>
      <c r="J16" s="3">
        <v>2</v>
      </c>
      <c r="K16" s="3">
        <v>4</v>
      </c>
      <c r="L16" s="4">
        <f t="shared" si="2"/>
        <v>8</v>
      </c>
      <c r="M16" s="10" t="str">
        <f t="shared" si="3"/>
        <v>MEDIUM</v>
      </c>
      <c r="N16" s="2" t="s">
        <v>92</v>
      </c>
    </row>
    <row r="17" spans="1:14" ht="52" customHeight="1" x14ac:dyDescent="0.2">
      <c r="A17" s="20" t="s">
        <v>93</v>
      </c>
      <c r="B17" s="21" t="s">
        <v>94</v>
      </c>
      <c r="C17" s="21" t="s">
        <v>95</v>
      </c>
      <c r="D17" s="21" t="s">
        <v>96</v>
      </c>
      <c r="E17" s="22">
        <v>2</v>
      </c>
      <c r="F17" s="22">
        <v>5</v>
      </c>
      <c r="G17" s="23">
        <f t="shared" si="0"/>
        <v>10</v>
      </c>
      <c r="H17" s="6" t="str">
        <f t="shared" si="1"/>
        <v>HIGH</v>
      </c>
      <c r="I17" s="21" t="s">
        <v>97</v>
      </c>
      <c r="J17" s="22">
        <v>1</v>
      </c>
      <c r="K17" s="22">
        <v>5</v>
      </c>
      <c r="L17" s="23">
        <f t="shared" si="2"/>
        <v>5</v>
      </c>
      <c r="M17" s="10" t="str">
        <f t="shared" si="3"/>
        <v>MEDIUM</v>
      </c>
      <c r="N17" s="21" t="s">
        <v>98</v>
      </c>
    </row>
    <row r="18" spans="1:14" ht="52" customHeight="1" x14ac:dyDescent="0.2">
      <c r="A18" s="19" t="s">
        <v>99</v>
      </c>
      <c r="B18" s="2" t="s">
        <v>100</v>
      </c>
      <c r="C18" s="2" t="s">
        <v>101</v>
      </c>
      <c r="D18" s="2" t="s">
        <v>102</v>
      </c>
      <c r="E18" s="3">
        <v>3</v>
      </c>
      <c r="F18" s="3">
        <v>5</v>
      </c>
      <c r="G18" s="4">
        <f t="shared" si="0"/>
        <v>15</v>
      </c>
      <c r="H18" s="6" t="str">
        <f t="shared" si="1"/>
        <v>HIGH</v>
      </c>
      <c r="I18" s="2" t="s">
        <v>103</v>
      </c>
      <c r="J18" s="3">
        <v>2</v>
      </c>
      <c r="K18" s="3">
        <v>4</v>
      </c>
      <c r="L18" s="4">
        <f t="shared" si="2"/>
        <v>8</v>
      </c>
      <c r="M18" s="10" t="str">
        <f t="shared" si="3"/>
        <v>MEDIUM</v>
      </c>
      <c r="N18" s="2" t="s">
        <v>104</v>
      </c>
    </row>
    <row r="19" spans="1:14" ht="52" customHeight="1" x14ac:dyDescent="0.2">
      <c r="A19" s="20" t="s">
        <v>105</v>
      </c>
      <c r="B19" s="21" t="s">
        <v>106</v>
      </c>
      <c r="C19" s="21" t="s">
        <v>107</v>
      </c>
      <c r="D19" s="21" t="s">
        <v>108</v>
      </c>
      <c r="E19" s="22">
        <v>2</v>
      </c>
      <c r="F19" s="22">
        <v>5</v>
      </c>
      <c r="G19" s="23">
        <f t="shared" si="0"/>
        <v>10</v>
      </c>
      <c r="H19" s="6" t="str">
        <f t="shared" si="1"/>
        <v>HIGH</v>
      </c>
      <c r="I19" s="21" t="s">
        <v>109</v>
      </c>
      <c r="J19" s="22">
        <v>1</v>
      </c>
      <c r="K19" s="22">
        <v>4</v>
      </c>
      <c r="L19" s="23">
        <f t="shared" si="2"/>
        <v>4</v>
      </c>
      <c r="M19" s="11" t="str">
        <f t="shared" si="3"/>
        <v>LOW</v>
      </c>
      <c r="N19" s="21" t="s">
        <v>110</v>
      </c>
    </row>
    <row r="20" spans="1:14" ht="52" customHeight="1" x14ac:dyDescent="0.2">
      <c r="A20" s="19" t="s">
        <v>111</v>
      </c>
      <c r="B20" s="2" t="s">
        <v>112</v>
      </c>
      <c r="C20" s="2" t="s">
        <v>113</v>
      </c>
      <c r="D20" s="2" t="s">
        <v>114</v>
      </c>
      <c r="E20" s="3">
        <v>3</v>
      </c>
      <c r="F20" s="3">
        <v>5</v>
      </c>
      <c r="G20" s="4">
        <f t="shared" si="0"/>
        <v>15</v>
      </c>
      <c r="H20" s="6" t="str">
        <f t="shared" si="1"/>
        <v>HIGH</v>
      </c>
      <c r="I20" s="2" t="s">
        <v>115</v>
      </c>
      <c r="J20" s="3">
        <v>2</v>
      </c>
      <c r="K20" s="3">
        <v>4</v>
      </c>
      <c r="L20" s="4">
        <f t="shared" si="2"/>
        <v>8</v>
      </c>
      <c r="M20" s="10" t="str">
        <f t="shared" si="3"/>
        <v>MEDIUM</v>
      </c>
      <c r="N20" s="2" t="s">
        <v>116</v>
      </c>
    </row>
    <row r="21" spans="1:14" ht="52" customHeight="1" x14ac:dyDescent="0.2">
      <c r="A21" s="20" t="s">
        <v>117</v>
      </c>
      <c r="B21" s="21" t="s">
        <v>118</v>
      </c>
      <c r="C21" s="21" t="s">
        <v>119</v>
      </c>
      <c r="D21" s="21" t="s">
        <v>120</v>
      </c>
      <c r="E21" s="22">
        <v>3</v>
      </c>
      <c r="F21" s="22">
        <v>4</v>
      </c>
      <c r="G21" s="23">
        <f t="shared" si="0"/>
        <v>12</v>
      </c>
      <c r="H21" s="6" t="str">
        <f t="shared" si="1"/>
        <v>HIGH</v>
      </c>
      <c r="I21" s="21" t="s">
        <v>121</v>
      </c>
      <c r="J21" s="22">
        <v>2</v>
      </c>
      <c r="K21" s="22">
        <v>3</v>
      </c>
      <c r="L21" s="23">
        <f t="shared" si="2"/>
        <v>6</v>
      </c>
      <c r="M21" s="10" t="str">
        <f t="shared" si="3"/>
        <v>MEDIUM</v>
      </c>
      <c r="N21" s="21" t="s">
        <v>122</v>
      </c>
    </row>
    <row r="22" spans="1:14" ht="52" customHeight="1" x14ac:dyDescent="0.2">
      <c r="A22" s="19" t="s">
        <v>123</v>
      </c>
      <c r="B22" s="2" t="s">
        <v>124</v>
      </c>
      <c r="C22" s="2" t="s">
        <v>125</v>
      </c>
      <c r="D22" s="2" t="s">
        <v>126</v>
      </c>
      <c r="E22" s="3">
        <v>3</v>
      </c>
      <c r="F22" s="3">
        <v>4</v>
      </c>
      <c r="G22" s="4">
        <f t="shared" si="0"/>
        <v>12</v>
      </c>
      <c r="H22" s="6" t="str">
        <f t="shared" si="1"/>
        <v>HIGH</v>
      </c>
      <c r="I22" s="2" t="s">
        <v>127</v>
      </c>
      <c r="J22" s="3">
        <v>2</v>
      </c>
      <c r="K22" s="3">
        <v>3</v>
      </c>
      <c r="L22" s="4">
        <f t="shared" si="2"/>
        <v>6</v>
      </c>
      <c r="M22" s="10" t="str">
        <f t="shared" si="3"/>
        <v>MEDIUM</v>
      </c>
      <c r="N22" s="2" t="s">
        <v>128</v>
      </c>
    </row>
    <row r="23" spans="1:14" ht="52" customHeight="1" x14ac:dyDescent="0.2">
      <c r="A23" s="20" t="s">
        <v>129</v>
      </c>
      <c r="B23" s="21" t="s">
        <v>130</v>
      </c>
      <c r="C23" s="21" t="s">
        <v>131</v>
      </c>
      <c r="D23" s="21" t="s">
        <v>132</v>
      </c>
      <c r="E23" s="22">
        <v>4</v>
      </c>
      <c r="F23" s="22">
        <v>4</v>
      </c>
      <c r="G23" s="23">
        <f t="shared" si="0"/>
        <v>16</v>
      </c>
      <c r="H23" s="5" t="str">
        <f t="shared" si="1"/>
        <v>CRITICAL</v>
      </c>
      <c r="I23" s="21" t="s">
        <v>133</v>
      </c>
      <c r="J23" s="22">
        <v>2</v>
      </c>
      <c r="K23" s="22">
        <v>3</v>
      </c>
      <c r="L23" s="23">
        <f t="shared" si="2"/>
        <v>6</v>
      </c>
      <c r="M23" s="10" t="str">
        <f t="shared" si="3"/>
        <v>MEDIUM</v>
      </c>
      <c r="N23" s="21" t="s">
        <v>134</v>
      </c>
    </row>
    <row r="24" spans="1:14" ht="52" customHeight="1" x14ac:dyDescent="0.2">
      <c r="A24" s="19" t="s">
        <v>135</v>
      </c>
      <c r="B24" s="2" t="s">
        <v>136</v>
      </c>
      <c r="C24" s="2" t="s">
        <v>137</v>
      </c>
      <c r="D24" s="2" t="s">
        <v>138</v>
      </c>
      <c r="E24" s="3">
        <v>2</v>
      </c>
      <c r="F24" s="3">
        <v>5</v>
      </c>
      <c r="G24" s="4">
        <f t="shared" si="0"/>
        <v>10</v>
      </c>
      <c r="H24" s="6" t="str">
        <f t="shared" si="1"/>
        <v>HIGH</v>
      </c>
      <c r="I24" s="2" t="s">
        <v>139</v>
      </c>
      <c r="J24" s="3">
        <v>1</v>
      </c>
      <c r="K24" s="3">
        <v>4</v>
      </c>
      <c r="L24" s="4">
        <f t="shared" si="2"/>
        <v>4</v>
      </c>
      <c r="M24" s="11" t="str">
        <f t="shared" si="3"/>
        <v>LOW</v>
      </c>
      <c r="N24" s="2" t="s">
        <v>140</v>
      </c>
    </row>
    <row r="25" spans="1:14" ht="52" customHeight="1" x14ac:dyDescent="0.2">
      <c r="A25" s="20" t="s">
        <v>141</v>
      </c>
      <c r="B25" s="21" t="s">
        <v>142</v>
      </c>
      <c r="C25" s="21" t="s">
        <v>143</v>
      </c>
      <c r="D25" s="21" t="s">
        <v>144</v>
      </c>
      <c r="E25" s="22">
        <v>3</v>
      </c>
      <c r="F25" s="22">
        <v>4</v>
      </c>
      <c r="G25" s="23">
        <f t="shared" si="0"/>
        <v>12</v>
      </c>
      <c r="H25" s="6" t="str">
        <f t="shared" si="1"/>
        <v>HIGH</v>
      </c>
      <c r="I25" s="21" t="s">
        <v>145</v>
      </c>
      <c r="J25" s="22">
        <v>1</v>
      </c>
      <c r="K25" s="22">
        <v>3</v>
      </c>
      <c r="L25" s="23">
        <f t="shared" si="2"/>
        <v>3</v>
      </c>
      <c r="M25" s="11" t="str">
        <f t="shared" si="3"/>
        <v>LOW</v>
      </c>
      <c r="N25" s="21" t="s">
        <v>146</v>
      </c>
    </row>
  </sheetData>
  <autoFilter ref="A3:N25" xr:uid="{00000000-0009-0000-0000-000000000000}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/>
  </sheetViews>
  <sheetFormatPr baseColWidth="10" defaultColWidth="8.83203125" defaultRowHeight="15" x14ac:dyDescent="0.2"/>
  <cols>
    <col min="1" max="6" width="10" customWidth="1"/>
  </cols>
  <sheetData>
    <row r="1" spans="1:6" ht="28" customHeight="1" x14ac:dyDescent="0.2">
      <c r="A1" s="26" t="s">
        <v>147</v>
      </c>
      <c r="B1" s="25"/>
      <c r="C1" s="25"/>
      <c r="D1" s="25"/>
      <c r="E1" s="25"/>
      <c r="F1" s="25"/>
    </row>
    <row r="3" spans="1:6" ht="16" x14ac:dyDescent="0.2">
      <c r="A3" s="12" t="s">
        <v>148</v>
      </c>
    </row>
    <row r="4" spans="1:6" x14ac:dyDescent="0.2">
      <c r="A4" s="1" t="s">
        <v>149</v>
      </c>
      <c r="B4" s="1" t="s">
        <v>150</v>
      </c>
      <c r="C4" s="1" t="s">
        <v>151</v>
      </c>
      <c r="D4" s="1" t="s">
        <v>152</v>
      </c>
    </row>
    <row r="5" spans="1:6" ht="105" x14ac:dyDescent="0.2">
      <c r="A5" s="3">
        <v>1</v>
      </c>
      <c r="B5" s="3" t="s">
        <v>153</v>
      </c>
      <c r="C5" s="2" t="s">
        <v>154</v>
      </c>
      <c r="D5" s="2" t="s">
        <v>155</v>
      </c>
    </row>
    <row r="6" spans="1:6" ht="45" x14ac:dyDescent="0.2">
      <c r="A6" s="8">
        <v>2</v>
      </c>
      <c r="B6" s="8" t="s">
        <v>156</v>
      </c>
      <c r="C6" s="7" t="s">
        <v>157</v>
      </c>
      <c r="D6" s="7" t="s">
        <v>158</v>
      </c>
    </row>
    <row r="7" spans="1:6" ht="45" x14ac:dyDescent="0.2">
      <c r="A7" s="3">
        <v>3</v>
      </c>
      <c r="B7" s="3" t="s">
        <v>159</v>
      </c>
      <c r="C7" s="2" t="s">
        <v>160</v>
      </c>
      <c r="D7" s="2" t="s">
        <v>161</v>
      </c>
    </row>
    <row r="8" spans="1:6" ht="60" x14ac:dyDescent="0.2">
      <c r="A8" s="8">
        <v>4</v>
      </c>
      <c r="B8" s="8" t="s">
        <v>162</v>
      </c>
      <c r="C8" s="7" t="s">
        <v>163</v>
      </c>
      <c r="D8" s="7" t="s">
        <v>164</v>
      </c>
    </row>
    <row r="9" spans="1:6" ht="45" x14ac:dyDescent="0.2">
      <c r="A9" s="3">
        <v>5</v>
      </c>
      <c r="B9" s="3" t="s">
        <v>165</v>
      </c>
      <c r="C9" s="2" t="s">
        <v>166</v>
      </c>
      <c r="D9" s="2" t="s">
        <v>167</v>
      </c>
    </row>
    <row r="12" spans="1:6" ht="16" x14ac:dyDescent="0.2">
      <c r="A12" s="12" t="s">
        <v>168</v>
      </c>
    </row>
    <row r="13" spans="1:6" ht="30" x14ac:dyDescent="0.2">
      <c r="A13" s="1" t="s">
        <v>149</v>
      </c>
      <c r="B13" s="1" t="s">
        <v>150</v>
      </c>
      <c r="C13" s="1" t="s">
        <v>169</v>
      </c>
      <c r="D13" s="1" t="s">
        <v>170</v>
      </c>
    </row>
    <row r="14" spans="1:6" ht="45" x14ac:dyDescent="0.2">
      <c r="A14" s="3">
        <v>1</v>
      </c>
      <c r="B14" s="3" t="s">
        <v>171</v>
      </c>
      <c r="C14" s="2" t="s">
        <v>172</v>
      </c>
      <c r="D14" s="2" t="s">
        <v>173</v>
      </c>
    </row>
    <row r="15" spans="1:6" ht="45" x14ac:dyDescent="0.2">
      <c r="A15" s="8">
        <v>2</v>
      </c>
      <c r="B15" s="8" t="s">
        <v>174</v>
      </c>
      <c r="C15" s="7" t="s">
        <v>175</v>
      </c>
      <c r="D15" s="7" t="s">
        <v>176</v>
      </c>
    </row>
    <row r="16" spans="1:6" ht="75" x14ac:dyDescent="0.2">
      <c r="A16" s="3">
        <v>3</v>
      </c>
      <c r="B16" s="3" t="s">
        <v>177</v>
      </c>
      <c r="C16" s="2" t="s">
        <v>178</v>
      </c>
      <c r="D16" s="2" t="s">
        <v>179</v>
      </c>
    </row>
    <row r="17" spans="1:6" ht="90" x14ac:dyDescent="0.2">
      <c r="A17" s="8">
        <v>4</v>
      </c>
      <c r="B17" s="8" t="s">
        <v>180</v>
      </c>
      <c r="C17" s="7" t="s">
        <v>181</v>
      </c>
      <c r="D17" s="7" t="s">
        <v>182</v>
      </c>
    </row>
    <row r="18" spans="1:6" ht="90" x14ac:dyDescent="0.2">
      <c r="A18" s="3">
        <v>5</v>
      </c>
      <c r="B18" s="3" t="s">
        <v>183</v>
      </c>
      <c r="C18" s="2" t="s">
        <v>184</v>
      </c>
      <c r="D18" s="2" t="s">
        <v>185</v>
      </c>
    </row>
    <row r="21" spans="1:6" ht="16" x14ac:dyDescent="0.2">
      <c r="A21" s="12" t="s">
        <v>186</v>
      </c>
    </row>
    <row r="23" spans="1:6" x14ac:dyDescent="0.2">
      <c r="A23" s="13"/>
      <c r="B23" s="14" t="s">
        <v>187</v>
      </c>
      <c r="C23" s="14" t="s">
        <v>188</v>
      </c>
      <c r="D23" s="14" t="s">
        <v>189</v>
      </c>
      <c r="E23" s="14" t="s">
        <v>190</v>
      </c>
      <c r="F23" s="14" t="s">
        <v>191</v>
      </c>
    </row>
    <row r="24" spans="1:6" ht="20" customHeight="1" x14ac:dyDescent="0.2">
      <c r="A24" s="14" t="s">
        <v>192</v>
      </c>
      <c r="B24" s="15" t="s">
        <v>193</v>
      </c>
      <c r="C24" s="16" t="s">
        <v>194</v>
      </c>
      <c r="D24" s="16" t="s">
        <v>195</v>
      </c>
      <c r="E24" s="17" t="s">
        <v>196</v>
      </c>
      <c r="F24" s="17" t="s">
        <v>197</v>
      </c>
    </row>
    <row r="25" spans="1:6" ht="20" customHeight="1" x14ac:dyDescent="0.2">
      <c r="A25" s="14" t="s">
        <v>198</v>
      </c>
      <c r="B25" s="18" t="s">
        <v>199</v>
      </c>
      <c r="C25" s="15" t="s">
        <v>200</v>
      </c>
      <c r="D25" s="16" t="s">
        <v>201</v>
      </c>
      <c r="E25" s="17" t="s">
        <v>202</v>
      </c>
      <c r="F25" s="17" t="s">
        <v>196</v>
      </c>
    </row>
    <row r="26" spans="1:6" ht="20" customHeight="1" x14ac:dyDescent="0.2">
      <c r="A26" s="14" t="s">
        <v>203</v>
      </c>
      <c r="B26" s="18" t="s">
        <v>204</v>
      </c>
      <c r="C26" s="15" t="s">
        <v>205</v>
      </c>
      <c r="D26" s="15" t="s">
        <v>206</v>
      </c>
      <c r="E26" s="16" t="s">
        <v>201</v>
      </c>
      <c r="F26" s="16" t="s">
        <v>195</v>
      </c>
    </row>
    <row r="27" spans="1:6" ht="20" customHeight="1" x14ac:dyDescent="0.2">
      <c r="A27" s="14" t="s">
        <v>207</v>
      </c>
      <c r="B27" s="18" t="s">
        <v>208</v>
      </c>
      <c r="C27" s="18" t="s">
        <v>199</v>
      </c>
      <c r="D27" s="15" t="s">
        <v>205</v>
      </c>
      <c r="E27" s="15" t="s">
        <v>200</v>
      </c>
      <c r="F27" s="16" t="s">
        <v>194</v>
      </c>
    </row>
    <row r="28" spans="1:6" ht="20" customHeight="1" x14ac:dyDescent="0.2">
      <c r="A28" s="14" t="s">
        <v>209</v>
      </c>
      <c r="B28" s="18" t="s">
        <v>210</v>
      </c>
      <c r="C28" s="18" t="s">
        <v>208</v>
      </c>
      <c r="D28" s="18" t="s">
        <v>204</v>
      </c>
      <c r="E28" s="18" t="s">
        <v>199</v>
      </c>
      <c r="F28" s="15" t="s">
        <v>193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Afrid Shaik [Student-PECS]</cp:lastModifiedBy>
  <dcterms:created xsi:type="dcterms:W3CDTF">2026-03-19T01:50:56Z</dcterms:created>
  <dcterms:modified xsi:type="dcterms:W3CDTF">2026-04-05T12:14:28Z</dcterms:modified>
</cp:coreProperties>
</file>