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ironman/Desktop/"/>
    </mc:Choice>
  </mc:AlternateContent>
  <xr:revisionPtr revIDLastSave="0" documentId="13_ncr:1_{7D62C7BC-523C-A04C-9BE0-740913064FB2}" xr6:coauthVersionLast="47" xr6:coauthVersionMax="47" xr10:uidLastSave="{00000000-0000-0000-0000-000000000000}"/>
  <bookViews>
    <workbookView xWindow="3860" yWindow="580" windowWidth="21740" windowHeight="16060" xr2:uid="{00000000-000D-0000-FFFF-FFFF00000000}"/>
  </bookViews>
  <sheets>
    <sheet name="Statement of Applicability" sheetId="1" r:id="rId1"/>
    <sheet name="SoA Summary Dashboard" sheetId="2" r:id="rId2"/>
  </sheets>
  <definedNames>
    <definedName name="_xlnm._FilterDatabase" localSheetId="0" hidden="1">'Statement of Applicability'!$A$3:$H$3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B9" i="2"/>
  <c r="C9" i="2" s="1"/>
  <c r="B8" i="2"/>
  <c r="C8" i="2" s="1"/>
  <c r="B7" i="2"/>
  <c r="C7" i="2" s="1"/>
  <c r="B6" i="2"/>
  <c r="B10" i="2" s="1"/>
  <c r="C6" i="2" l="1"/>
</calcChain>
</file>

<file path=xl/sharedStrings.xml><?xml version="1.0" encoding="utf-8"?>
<sst xmlns="http://schemas.openxmlformats.org/spreadsheetml/2006/main" count="823" uniqueCount="444">
  <si>
    <t>NovaCrest Financial Services Ltd — ISO 27001:2022 Statement of Applicability (SoA)</t>
  </si>
  <si>
    <t>Control Ref</t>
  </si>
  <si>
    <t>Control Name</t>
  </si>
  <si>
    <t>Applicable?</t>
  </si>
  <si>
    <t>Justification for Inclusion / Exclusion</t>
  </si>
  <si>
    <t>Implementation Status</t>
  </si>
  <si>
    <t>Control Owner</t>
  </si>
  <si>
    <t>Evidence / Notes</t>
  </si>
  <si>
    <t>Control Category</t>
  </si>
  <si>
    <t>5.1</t>
  </si>
  <si>
    <t>Policies for information security</t>
  </si>
  <si>
    <t>Yes</t>
  </si>
  <si>
    <t>Required to establish management direction and demonstrate ISO 27001 Clause 5.2 conformance. Mandatory for certification.</t>
  </si>
  <si>
    <t>Implemented</t>
  </si>
  <si>
    <t>CISO</t>
  </si>
  <si>
    <t>Information Security Policy v1.0 approved April 2026. Published on intranet.</t>
  </si>
  <si>
    <t>Organisational</t>
  </si>
  <si>
    <t>5.2</t>
  </si>
  <si>
    <t>Information security roles and responsibilities</t>
  </si>
  <si>
    <t>Required to define accountability for information security across all business areas of NovaCrest.</t>
  </si>
  <si>
    <t>RACI matrix documented in ISMS governance pack. Role definitions in IS Policy.</t>
  </si>
  <si>
    <t>5.3</t>
  </si>
  <si>
    <t>Segregation of duties</t>
  </si>
  <si>
    <t>Critical for a financial services firm processing customer transactions. Reduces risk of fraud and error.</t>
  </si>
  <si>
    <t>Partially Implemented</t>
  </si>
  <si>
    <t>IT Director</t>
  </si>
  <si>
    <t>System-level SoD enforced on core banking platform. Manual process SoD gaps identified — action plan in place.</t>
  </si>
  <si>
    <t>5.4</t>
  </si>
  <si>
    <t>Management responsibilities</t>
  </si>
  <si>
    <t>Required by ISO 27001 Clause 5.1. Board commitment to information security must be documented.</t>
  </si>
  <si>
    <t>Board</t>
  </si>
  <si>
    <t>Board Information Security commitment statement signed April 2026.</t>
  </si>
  <si>
    <t>5.5</t>
  </si>
  <si>
    <t>Contact with authorities</t>
  </si>
  <si>
    <t>Required for liaison with FCA, ICO, NCSC and law enforcement in the event of an incident or regulatory enquiry.</t>
  </si>
  <si>
    <t>Authority contacts register maintained. FCA supervisory contact, ICO registration, NCSC Early Warning Service all documented.</t>
  </si>
  <si>
    <t>5.6</t>
  </si>
  <si>
    <t>Contact with special interest groups</t>
  </si>
  <si>
    <t>Required to maintain awareness of the current threat landscape relevant to financial services.</t>
  </si>
  <si>
    <t>NovaCrest is a member of FS-ISAC and subscribes to the NCSC Early Warning Service. Monthly threat briefings reviewed by CISO.</t>
  </si>
  <si>
    <t>5.7</t>
  </si>
  <si>
    <t>Threat intelligence</t>
  </si>
  <si>
    <t>Required to identify and respond to emerging threats targeting the UK financial services sector.</t>
  </si>
  <si>
    <t>FS-ISAC membership provides sector-specific threat intelligence. NCSC alerts reviewed weekly. Findings incorporated into risk register on rolling basis.</t>
  </si>
  <si>
    <t>5.8</t>
  </si>
  <si>
    <t>Information security in project management</t>
  </si>
  <si>
    <t>Required to embed security into NovaCrest's change and project governance processes.</t>
  </si>
  <si>
    <t>Security review gate added to project governance template. Threat modelling not yet formalised for new projects.</t>
  </si>
  <si>
    <t>5.9</t>
  </si>
  <si>
    <t>Inventory of information and other associated assets</t>
  </si>
  <si>
    <t>Required to identify, classify and manage all information assets. Foundational control for risk assessment.</t>
  </si>
  <si>
    <t>On-premises asset register 85% complete. Cloud assets (Azure) not fully inventoried — gap action in progress.</t>
  </si>
  <si>
    <t>5.10</t>
  </si>
  <si>
    <t>Acceptable use of information and other associated assets</t>
  </si>
  <si>
    <t>Required to define permitted and prohibited use of NovaCrest information assets by all users.</t>
  </si>
  <si>
    <t>Acceptable Use Policy published on intranet. Acknowledged by all staff at onboarding. Annual re-acknowledgement in place.</t>
  </si>
  <si>
    <t>5.11</t>
  </si>
  <si>
    <t>Return of assets</t>
  </si>
  <si>
    <t>Required to ensure all NovaCrest assets are returned on employment termination or contract end.</t>
  </si>
  <si>
    <t>HR</t>
  </si>
  <si>
    <t>Asset return checklist included in leavers process. IT notified automatically on departure date.</t>
  </si>
  <si>
    <t>5.12</t>
  </si>
  <si>
    <t>Classification of information</t>
  </si>
  <si>
    <t>Required to ensure appropriate protection is applied to all NovaCrest information based on its sensitivity.</t>
  </si>
  <si>
    <t>4-tier classification scheme defined (Top Secret / Confidential / Internal / Public) in Data Classification Policy. Document labelling enforcement in progress.</t>
  </si>
  <si>
    <t>5.13</t>
  </si>
  <si>
    <t>Labelling of information</t>
  </si>
  <si>
    <t>Required to support the classification scheme and ensure consistent handling across the organisation.</t>
  </si>
  <si>
    <t>IS Team</t>
  </si>
  <si>
    <t>Email classification labels deployed in Microsoft 365. Document header/footer labelling roll-out in progress — target completion Q3 2026.</t>
  </si>
  <si>
    <t>5.14</t>
  </si>
  <si>
    <t>Information transfer</t>
  </si>
  <si>
    <t>Required to protect NovaCrest information during transfer — particularly payment data and customer PII.</t>
  </si>
  <si>
    <t>TLS 1.2+ enforced on all data in transit. Secure file transfer platform (SFTP) deployed for third-party data exchange. Email encryption available for Confidential transfers.</t>
  </si>
  <si>
    <t>5.15</t>
  </si>
  <si>
    <t>Access control</t>
  </si>
  <si>
    <t>Required to restrict access to NovaCrest information assets to authorised individuals only. Core financial services control.</t>
  </si>
  <si>
    <t>RBAC implemented across all core systems. Access request and approval process in place. Annual access review conducted.</t>
  </si>
  <si>
    <t>5.16</t>
  </si>
  <si>
    <t>Identity management</t>
  </si>
  <si>
    <t>Required to manage digital identities across NovaCrest's systems — including joiners, movers and leavers.</t>
  </si>
  <si>
    <t>Azure Active Directory as central identity provider. Joiners/movers/leavers (JML) process documented and enforced. Automated provisioning via HR system integration.</t>
  </si>
  <si>
    <t>5.17</t>
  </si>
  <si>
    <t>Authentication information</t>
  </si>
  <si>
    <t>Required to protect authentication credentials and prevent unauthorised account access.</t>
  </si>
  <si>
    <t>Password policy enforced (12 char minimum, complexity required). MFA enforced for Azure AD. Legacy applications not yet covered by MFA — remediation roadmap in place.</t>
  </si>
  <si>
    <t>5.18</t>
  </si>
  <si>
    <t>Access rights</t>
  </si>
  <si>
    <t>Required to control the provisioning, review and revocation of access rights to all NovaCrest systems.</t>
  </si>
  <si>
    <t>Formal access request and approval process in place. Access rights reviewed annually. Privileged access requires CISO approval.</t>
  </si>
  <si>
    <t>5.19</t>
  </si>
  <si>
    <t>Information security in supplier relationships</t>
  </si>
  <si>
    <t>Required given NovaCrest's reliance on multiple third-party service providers with access to systems and data.</t>
  </si>
  <si>
    <t>Procurement</t>
  </si>
  <si>
    <t>Supplier security requirements included in contracts from 2024. Formal TPRM assessment process in development. 50+ vendor assessments completed at previous role.</t>
  </si>
  <si>
    <t>5.20</t>
  </si>
  <si>
    <t>Addressing information security within supplier agreements</t>
  </si>
  <si>
    <t>Required to establish contractual security obligations with all suppliers handling NovaCrest data or systems.</t>
  </si>
  <si>
    <t>Legal / Procurement</t>
  </si>
  <si>
    <t>Information Security schedule included in all new supplier contracts from January 2024. Existing contracts being updated on renewal.</t>
  </si>
  <si>
    <t>5.21</t>
  </si>
  <si>
    <t>Managing information security in the ICT supply chain</t>
  </si>
  <si>
    <t>Required given NovaCrest's reliance on cloud providers (Azure), SaaS platforms and managed service providers.</t>
  </si>
  <si>
    <t>Cloud provider security assessments initiated. Azure and key SaaS providers reviewed. Sub-processor management under UK GDPR being formalised.</t>
  </si>
  <si>
    <t>5.22</t>
  </si>
  <si>
    <t>Monitoring, review and change management of supplier services</t>
  </si>
  <si>
    <t>Required to ensure suppliers maintain security standards throughout the contract lifecycle.</t>
  </si>
  <si>
    <t>Not Implemented</t>
  </si>
  <si>
    <t>Formal annual supplier security review process not established. Ad hoc reviews only. Action: implement structured annual TPRM review programme by Q3 2026.</t>
  </si>
  <si>
    <t>5.23</t>
  </si>
  <si>
    <t>Information security for use of cloud services</t>
  </si>
  <si>
    <t>Required given NovaCrest's use of Microsoft Azure for production workloads and customer data processing.</t>
  </si>
  <si>
    <t>Cloud security policy in draft — not yet approved. Microsoft Defender for Cloud not enabled on production subscription (confirmed by Azure audit April 2026). No formal cloud security baseline signed off. Action: complete Azure remediation programme and approve cloud security policy.</t>
  </si>
  <si>
    <t>5.24</t>
  </si>
  <si>
    <t>Information security incident management planning and preparation</t>
  </si>
  <si>
    <t>Required to ensure NovaCrest has a structured, tested approach to identifying and responding to security incidents.</t>
  </si>
  <si>
    <t>Incident Response Policy v1.0 approved April 2026. Severity classification (P1–P4) defined. Regulatory notification timescales documented (FCA 4hr, ICO 72hr, PCI DSS 24hr).</t>
  </si>
  <si>
    <t>5.25</t>
  </si>
  <si>
    <t>Assessment and decision on information security events</t>
  </si>
  <si>
    <t>Required to ensure all security events are triaged and classified consistently by the IS Team.</t>
  </si>
  <si>
    <t>SIEM triage process documented. Splunk alert rules configured for endpoint, firewall and server events. Escalation thresholds defined.</t>
  </si>
  <si>
    <t>5.26</t>
  </si>
  <si>
    <t>Response to information security incidents</t>
  </si>
  <si>
    <t>Required to manage the containment, eradication and recovery from confirmed security incidents.</t>
  </si>
  <si>
    <t>Incident Response Policy covers all response phases. Tabletop exercise conducted Q4 2025. Response tested against ransomware scenario.</t>
  </si>
  <si>
    <t>5.27</t>
  </si>
  <si>
    <t>Learning from information security incidents</t>
  </si>
  <si>
    <t>Required to drive continual improvement from security incidents through formal lessons-learned processes.</t>
  </si>
  <si>
    <t>Post-incident review (PIR) process documented in IRP. Lessons log maintained. Findings fed into risk register and awareness training programme.</t>
  </si>
  <si>
    <t>5.28</t>
  </si>
  <si>
    <t>Collection of evidence</t>
  </si>
  <si>
    <t>Required to support regulatory reporting, legal proceedings and internal investigations.</t>
  </si>
  <si>
    <t>Evidence collection procedure documented. Chain of custody process in place. Digital forensics capability available via third-party retainer.</t>
  </si>
  <si>
    <t>5.29</t>
  </si>
  <si>
    <t>Information security during disruption</t>
  </si>
  <si>
    <t>Required to ensure information security controls remain effective during disruption — FCA operational resilience obligation.</t>
  </si>
  <si>
    <t>BCP exists but has not been tested in 24 months. IS continuity controls not validated during disruption scenarios. RTO/RPO not formally defined or tested. Action: conduct BCP test including IS continuity validation by Q3 2026.</t>
  </si>
  <si>
    <t>5.30</t>
  </si>
  <si>
    <t>ICT readiness for business continuity</t>
  </si>
  <si>
    <t>Required to ensure technical systems can support recovery within defined RTO/RPO targets.</t>
  </si>
  <si>
    <t>Azure active-passive DR configuration in place (UK South primary, UK West secondary). RPO/RTO targets not formally documented or tested. Action: define and test RTO/RPO for all critical systems.</t>
  </si>
  <si>
    <t>5.31</t>
  </si>
  <si>
    <t>Legal, statutory, regulatory and contractual requirements</t>
  </si>
  <si>
    <t>Required to ensure NovaCrest identifies and complies with all applicable legal and regulatory obligations.</t>
  </si>
  <si>
    <t>Legal / Compliance</t>
  </si>
  <si>
    <t>Compliance obligation register maintained covering FCA, ICO, PCI DSS and FSMA requirements. Reviewed quarterly by Legal and Compliance.</t>
  </si>
  <si>
    <t>5.32</t>
  </si>
  <si>
    <t>Intellectual property rights</t>
  </si>
  <si>
    <t>Required to protect NovaCrest's proprietary assets and manage software licensing obligations.</t>
  </si>
  <si>
    <t>Legal</t>
  </si>
  <si>
    <t>Software asset management (SAM) process in place. Annual licence audit conducted. Open source usage policy published.</t>
  </si>
  <si>
    <t>5.33</t>
  </si>
  <si>
    <t>Protection of records</t>
  </si>
  <si>
    <t>Required to meet FCA 6-year record retention requirements and UK GDPR data minimisation obligations.</t>
  </si>
  <si>
    <t>Compliance</t>
  </si>
  <si>
    <t>Records retention schedule documented and enforced. Automated deletion configured for records past retention period. Legal hold process in place.</t>
  </si>
  <si>
    <t>5.34</t>
  </si>
  <si>
    <t>Privacy and protection of PII</t>
  </si>
  <si>
    <t>Required to comply with UK GDPR obligations for the processing of 85,000 customer records.</t>
  </si>
  <si>
    <t>DPO</t>
  </si>
  <si>
    <t>DPIA process in place. Article 30 records of processing activities maintained. Privacy notices published. Data subject rights process documented and tested.</t>
  </si>
  <si>
    <t>5.35</t>
  </si>
  <si>
    <t>Independent review of information security</t>
  </si>
  <si>
    <t>Required to provide independent assurance of ISMS effectiveness. Mandatory for ISO 27001 certification.</t>
  </si>
  <si>
    <t>First internal audit completed April 2026 (this ISMS project). Internal audit programme established — Audit 2 scheduled October 2026. External certification body (UKAS-accredited) to be engaged Q4 2026.</t>
  </si>
  <si>
    <t>5.36</t>
  </si>
  <si>
    <t>Compliance with policies, rules and standards</t>
  </si>
  <si>
    <t>Required to monitor and enforce adherence to all ISMS policies and procedures.</t>
  </si>
  <si>
    <t>Policy compliance monitoring in place for key controls (access reviews, patch management). Formal compliance monitoring schedule not yet established. Action: implement monthly compliance dashboard.</t>
  </si>
  <si>
    <t>5.37</t>
  </si>
  <si>
    <t>Documented operating procedures</t>
  </si>
  <si>
    <t>Required to ensure key security processes are consistently performed across all staff and shifts.</t>
  </si>
  <si>
    <t>Operating procedures documented for on-premises infrastructure. Cloud operations procedures gap identified — in development.</t>
  </si>
  <si>
    <t>6.1</t>
  </si>
  <si>
    <t>Screening</t>
  </si>
  <si>
    <t>Required for pre-employment vetting in line with FCA SM&amp;CR requirements. All staff in senior functions require enhanced screening.</t>
  </si>
  <si>
    <t>DBS checks and reference verification mandatory for all new hires. Enhanced vetting for FCA-approved persons. Screening policy documented.</t>
  </si>
  <si>
    <t>People</t>
  </si>
  <si>
    <t>6.2</t>
  </si>
  <si>
    <t>Terms and conditions of employment</t>
  </si>
  <si>
    <t>Required to establish information security obligations at employment commencement.</t>
  </si>
  <si>
    <t>IS obligations, confidentiality requirements and acceptable use provisions included in all employment contracts. Reviewed by Legal annually.</t>
  </si>
  <si>
    <t>6.3</t>
  </si>
  <si>
    <t>Information security awareness, education and training</t>
  </si>
  <si>
    <t>Required to build a security-aware culture and reduce the risk of human error across NovaCrest's 320 staff.</t>
  </si>
  <si>
    <t>HR / IS Team</t>
  </si>
  <si>
    <t>Annual security awareness training delivered. Phishing simulation launched Q1 2026. Completion tracking not yet LMS-based — paper records only. Action: implement LMS by Q2 2026.</t>
  </si>
  <si>
    <t>6.4</t>
  </si>
  <si>
    <t>Disciplinary process</t>
  </si>
  <si>
    <t>Required to address information security policy violations consistently and proportionately.</t>
  </si>
  <si>
    <t>Disciplinary policy updated to include IS violations. Graduated sanctions from verbal warning to dismissal. Legal reviewed March 2026.</t>
  </si>
  <si>
    <t>6.5</t>
  </si>
  <si>
    <t>Responsibilities after termination or change of employment</t>
  </si>
  <si>
    <t>Required to manage ongoing confidentiality obligations and access revocation on departure.</t>
  </si>
  <si>
    <t>Leavers process triggers immediate access revocation within 24 hours. Confidentiality obligations survive employment — documented in contract. Exit interview includes IS reminder.</t>
  </si>
  <si>
    <t>6.6</t>
  </si>
  <si>
    <t>Confidentiality or non-disclosure agreements</t>
  </si>
  <si>
    <t>Required for all staff and contractors with access to NovaCrest confidential or customer data.</t>
  </si>
  <si>
    <t>NDAs signed at onboarding for all staff and contractors. Third-party NDAs included in supplier contracts. Register maintained.</t>
  </si>
  <si>
    <t>6.7</t>
  </si>
  <si>
    <t>Remote working</t>
  </si>
  <si>
    <t>Required given NovaCrest's hybrid working policy — approx 60% of staff work remotely at least part of the week.</t>
  </si>
  <si>
    <t>Remote Working Policy published. VPN mandatory for all remote access to corporate systems. MDM enforced on all remote devices. Screen privacy filters recommended for public locations.</t>
  </si>
  <si>
    <t>6.8</t>
  </si>
  <si>
    <t>Information security event reporting</t>
  </si>
  <si>
    <t>Required to ensure staff promptly report suspected security incidents to the IS Team.</t>
  </si>
  <si>
    <t>Incident reporting procedure communicated to all staff. Dedicated reporting email and helpdesk line. Reporting included in annual awareness training. No-blame reporting culture promoted.</t>
  </si>
  <si>
    <t>7.1</t>
  </si>
  <si>
    <t>Physical security perimeters</t>
  </si>
  <si>
    <t>Required to protect NovaCrest's London HQ data centre and three office locations.</t>
  </si>
  <si>
    <t>Facilities</t>
  </si>
  <si>
    <t>Access card entry at all NovaCrest office perimeters. Data centre has mantrap entry with dual-factor authentication (card + PIN). Visitor management in place at all sites.</t>
  </si>
  <si>
    <t>Physical</t>
  </si>
  <si>
    <t>7.2</t>
  </si>
  <si>
    <t>Physical entry</t>
  </si>
  <si>
    <t>Required to prevent unauthorised access to NovaCrest facilities and sensitive areas.</t>
  </si>
  <si>
    <t>Visitor sign-in register at all sites. Escort policy for non-staff in secure areas. CCTV at all entry points. Tailgating detection in place at London HQ.</t>
  </si>
  <si>
    <t>7.3</t>
  </si>
  <si>
    <t>Securing offices, rooms and facilities</t>
  </si>
  <si>
    <t>Required to protect NovaCrest offices and sensitive areas from unauthorised access.</t>
  </si>
  <si>
    <t>Server room locked and alarmed. IS Team office requires card access. CCTV coverage across all office areas. No photography in secure areas policy enforced.</t>
  </si>
  <si>
    <t>7.4</t>
  </si>
  <si>
    <t>Physical security monitoring</t>
  </si>
  <si>
    <t>Required to detect and respond to physical security incidents at NovaCrest premises.</t>
  </si>
  <si>
    <t>24/7 CCTV recording at all sites. Recordings retained for 31 days. Monitoring reviewed on incident and monthly compliance basis.</t>
  </si>
  <si>
    <t>7.5</t>
  </si>
  <si>
    <t>Protecting against physical and environmental threats</t>
  </si>
  <si>
    <t>Required to protect the London HQ data centre from fire, flood, power failure and temperature extremes.</t>
  </si>
  <si>
    <t>Halon fire suppression system in data centre. UPS provides 30 minutes battery backup. Raised flooring for flood protection. Air conditioning with temperature monitoring and alerts.</t>
  </si>
  <si>
    <t>7.6</t>
  </si>
  <si>
    <t>Working in secure areas</t>
  </si>
  <si>
    <t>Required to protect data centre and secure office operations from internal threats.</t>
  </si>
  <si>
    <t>Clean desk policy enforced. No personal devices in data centre. No photography in secure areas. Access log maintained for data centre entry.</t>
  </si>
  <si>
    <t>7.7</t>
  </si>
  <si>
    <t>Clear desk and clear screen</t>
  </si>
  <si>
    <t>Required to prevent opportunistic data exposure at NovaCrest office locations.</t>
  </si>
  <si>
    <t>Clear desk policy communicated to all staff. Automatic screen lock after 5 minutes inactivity enforced via GPO. Shredding bins available at all sites.</t>
  </si>
  <si>
    <t>7.8</t>
  </si>
  <si>
    <t>Equipment siting and protection</t>
  </si>
  <si>
    <t>Required to protect NovaCrest hardware from physical threats including theft and environmental damage.</t>
  </si>
  <si>
    <t>Server equipment in locked racks in access-controlled data centre. Laptop lock cables available at all desks. Equipment inventory maintained.</t>
  </si>
  <si>
    <t>7.9</t>
  </si>
  <si>
    <t>Security of assets off-premises</t>
  </si>
  <si>
    <t>Required for the significant number of NovaCrest laptops and mobile devices used outside office premises.</t>
  </si>
  <si>
    <t>Full-disk encryption (BitLocker) on all laptops. MDM with remote wipe capability deployed. Device loss/theft reporting procedure in place.</t>
  </si>
  <si>
    <t>7.10</t>
  </si>
  <si>
    <t>Storage media</t>
  </si>
  <si>
    <t>Required to manage physical media containing NovaCrest or customer data.</t>
  </si>
  <si>
    <t>USB storage restricted via MDM policy — encrypted USB only permitted. Media disposal via ADISA-certified contractor. Media register maintained.</t>
  </si>
  <si>
    <t>7.11</t>
  </si>
  <si>
    <t>Supporting utilities</t>
  </si>
  <si>
    <t>Required to ensure power and cooling reliability for NovaCrest's London HQ data centre.</t>
  </si>
  <si>
    <t>Dual power feeds from separate substations. UPS with 30-minute capacity. Diesel generator for extended outages. Monthly UPS test conducted.</t>
  </si>
  <si>
    <t>7.12</t>
  </si>
  <si>
    <t>Cabling security</t>
  </si>
  <si>
    <t>Required to protect NovaCrest network cabling from damage, interference and unauthorised access.</t>
  </si>
  <si>
    <t>Structured cabling in conduit throughout offices and data centre. Patch panel documentation maintained. Network cable labelling enforced.</t>
  </si>
  <si>
    <t>7.13</t>
  </si>
  <si>
    <t>Equipment maintenance</t>
  </si>
  <si>
    <t>Required to maintain NovaCrest hardware in a reliable and secure condition.</t>
  </si>
  <si>
    <t>Maintenance contracts in place for all critical infrastructure. Preventative maintenance schedule documented. Maintenance activities logged.</t>
  </si>
  <si>
    <t>7.14</t>
  </si>
  <si>
    <t>Secure disposal or re-use of equipment</t>
  </si>
  <si>
    <t>Required to prevent customer or business data from being recovered from disposed equipment.</t>
  </si>
  <si>
    <t>NIST 800-88 data wiping process applied to all decommissioned equipment. Certificate of destruction obtained from ADISA-certified disposal contractor.</t>
  </si>
  <si>
    <t>8.1</t>
  </si>
  <si>
    <t>User end point devices</t>
  </si>
  <si>
    <t>Required to secure NovaCrest laptops, desktops and mobile devices used to access business systems and data.</t>
  </si>
  <si>
    <t>Intune MDM deployed on all corporate devices. BitLocker encryption enforced. CrowdStrike EDR deployed. Software installation restricted to approved applications only.</t>
  </si>
  <si>
    <t>Technological</t>
  </si>
  <si>
    <t>8.2</t>
  </si>
  <si>
    <t>Privileged access rights</t>
  </si>
  <si>
    <t>Required to control and monitor administrative access — a critical control for any financial services firm.</t>
  </si>
  <si>
    <t>Separate admin accounts enforced — no dual use of privileged and standard accounts. Azure AD PIM not yet implemented for cloud privileged roles. Action: implement PIM by Q2 2026.</t>
  </si>
  <si>
    <t>8.3</t>
  </si>
  <si>
    <t>Information access restriction</t>
  </si>
  <si>
    <t>Required to enforce least-privilege access across all NovaCrest systems and data repositories.</t>
  </si>
  <si>
    <t>RBAC applied across all core systems. Data access requires formal approval from system owner. Customer data access restricted to authorised business roles only.</t>
  </si>
  <si>
    <t>8.4</t>
  </si>
  <si>
    <t>Access to source code</t>
  </si>
  <si>
    <t>Required to protect NovaCrest's proprietary application code from unauthorised access or modification.</t>
  </si>
  <si>
    <t>Source code hosted in Azure DevOps with RBAC. Access restricted to the development team. Branching strategy enforced — no direct commits to main without peer review.</t>
  </si>
  <si>
    <t>8.5</t>
  </si>
  <si>
    <t>Secure authentication</t>
  </si>
  <si>
    <t>Required to prevent unauthorised access via weak or compromised credentials. PCI DSS requirement for cardholder data environment.</t>
  </si>
  <si>
    <t>MFA enforced for all Azure AD accounts. Password policy enforced (12 char, complexity). Legacy on-premises applications not yet covered by MFA — remediation roadmap in place with Q2 2026 target.</t>
  </si>
  <si>
    <t>8.6</t>
  </si>
  <si>
    <t>Capacity management</t>
  </si>
  <si>
    <t>Required to ensure NovaCrest systems have sufficient capacity to meet business availability requirements.</t>
  </si>
  <si>
    <t>Azure Monitor capacity dashboards in place. Automated alerts for storage, CPU and memory thresholds. Capacity review included in monthly IT governance meeting.</t>
  </si>
  <si>
    <t>8.7</t>
  </si>
  <si>
    <t>Protection against malware</t>
  </si>
  <si>
    <t>Required to prevent malware incidents that could disrupt operations or compromise customer data.</t>
  </si>
  <si>
    <t>CrowdStrike Falcon EDR deployed on all endpoints and servers. Email attachment scanning via Microsoft Defender for Office 365. Web filtering deployed via Zscaler proxy.</t>
  </si>
  <si>
    <t>8.8</t>
  </si>
  <si>
    <t>Management of technical vulnerabilities</t>
  </si>
  <si>
    <t>Required to maintain NovaCrest's security posture through timely identification and remediation of vulnerabilities.</t>
  </si>
  <si>
    <t>Monthly patching in place for on-premises servers. No formal vulnerability scanning programme exists. Azure workloads not subject to scheduled scanning. No documented SLAs for critical patch remediation. Action: implement Qualys or similar vulnerability scanner by Q2 2026.</t>
  </si>
  <si>
    <t>8.9</t>
  </si>
  <si>
    <t>Configuration management</t>
  </si>
  <si>
    <t>Required to maintain secure and consistent configurations across NovaCrest systems and infrastructure.</t>
  </si>
  <si>
    <t>CIS Benchmark Level 1 applied to on-premises servers. Azure Policy initiatives not yet fully configured. Configuration baseline for cloud workloads in development.</t>
  </si>
  <si>
    <t>8.10</t>
  </si>
  <si>
    <t>Information deletion</t>
  </si>
  <si>
    <t>Required to comply with UK GDPR data minimisation obligations and NovaCrest's records retention schedule.</t>
  </si>
  <si>
    <t>Automated deletion configured for records past the defined retention period. Secure deletion process documented. Annual records audit conducted to identify over-retained data.</t>
  </si>
  <si>
    <t>8.11</t>
  </si>
  <si>
    <t>Data masking</t>
  </si>
  <si>
    <t>Required to protect customer PII and payment data in non-production environments used for development and testing.</t>
  </si>
  <si>
    <t>Production data masking applied in test environments for payment card data (PCI DSS requirement). PII masking for non-card customer data 70% complete — remaining systems targeted Q3 2026.</t>
  </si>
  <si>
    <t>8.12</t>
  </si>
  <si>
    <t>Data leakage prevention</t>
  </si>
  <si>
    <t>Required to prevent the exfiltration of customer data, payment card data or commercially sensitive information.</t>
  </si>
  <si>
    <t>Microsoft 365 DLP policies configured for email — blocks sending of credit card numbers and NHS numbers externally. Endpoint DLP evaluation in progress. CASB solution under review for cloud data protection.</t>
  </si>
  <si>
    <t>8.13</t>
  </si>
  <si>
    <t>Information backup</t>
  </si>
  <si>
    <t>Required to ensure NovaCrest data can be recovered in the event of data loss, corruption or ransomware attack.</t>
  </si>
  <si>
    <t>Daily encrypted backups to Azure Backup. Immutable backup storage enabled (30-day retention). Offsite copy maintained. Monthly restore test conducted and results documented.</t>
  </si>
  <si>
    <t>8.14</t>
  </si>
  <si>
    <t>Redundancy of information processing facilities</t>
  </si>
  <si>
    <t>Required to meet FCA operational resilience obligations for critical banking and payment processing services.</t>
  </si>
  <si>
    <t>Azure active-passive configuration: UK South (primary), UK West (secondary). Automated failover for Tier 1 systems. RTO target 4 hours for core banking — being validated.</t>
  </si>
  <si>
    <t>8.15</t>
  </si>
  <si>
    <t>Logging</t>
  </si>
  <si>
    <t>Required to support security monitoring, incident investigation and FCA record-keeping requirements.</t>
  </si>
  <si>
    <t>Centralised logging to Splunk SIEM. 12-month log retention. Logs collected from: endpoints, servers, firewalls, Azure, email and VPN. Log integrity monitoring in place.</t>
  </si>
  <si>
    <t>8.16</t>
  </si>
  <si>
    <t>Monitoring activities</t>
  </si>
  <si>
    <t>Required to detect security incidents, policy violations and anomalous behaviour in a timely manner.</t>
  </si>
  <si>
    <t>Splunk SIEM with 100+ daily alert rules. 24-hour monitoring by IS Team during business hours. Microsoft Defender for Cloud not yet enabled on Azure subscription — confirmed gap from Azure audit.</t>
  </si>
  <si>
    <t>8.17</t>
  </si>
  <si>
    <t>Clock synchronisation</t>
  </si>
  <si>
    <t>Required to ensure log integrity and accurate forensic timestamps across all NovaCrest systems.</t>
  </si>
  <si>
    <t>NTP synchronisation enforced across all on-premises and Azure systems. NTP servers documented. Clock drift monitoring alerts configured.</t>
  </si>
  <si>
    <t>8.18</t>
  </si>
  <si>
    <t>Use of privileged utility programs</t>
  </si>
  <si>
    <t>Required to control the use of tools that could override security controls or access sensitive data.</t>
  </si>
  <si>
    <t>Admin tool usage requires written approval from IT Director. All privileged tool usage logged in Splunk. Tools not installed on standard user endpoints.</t>
  </si>
  <si>
    <t>8.19</t>
  </si>
  <si>
    <t>Installation of software on operational systems</t>
  </si>
  <si>
    <t>Required to prevent unauthorised or malicious software being installed on NovaCrest systems.</t>
  </si>
  <si>
    <t>Application allowlisting enforced via Intune on all corporate devices. Only IT-approved software may be installed. Shadow IT monitoring via CASB evaluation in progress.</t>
  </si>
  <si>
    <t>8.20</t>
  </si>
  <si>
    <t>Networks security</t>
  </si>
  <si>
    <t>Required to protect NovaCrest's internal network and Azure cloud infrastructure from attack.</t>
  </si>
  <si>
    <t>Next-gen firewall deployed at network perimeter. NSGs applied to all Azure subnets. RDP restricted to management VLAN. Azure DDoS Protection Standard not yet enabled on production VNets — action in progress.</t>
  </si>
  <si>
    <t>8.21</t>
  </si>
  <si>
    <t>Security of network services</t>
  </si>
  <si>
    <t>Required to secure NovaCrest's network services including internet connectivity, VPN and cloud links.</t>
  </si>
  <si>
    <t>Azure ExpressRoute for private cloud connectivity. Zscaler for secure web gateway. VPN with MFA for remote access. Network service contracts include security SLAs.</t>
  </si>
  <si>
    <t>8.22</t>
  </si>
  <si>
    <t>Segregation of networks</t>
  </si>
  <si>
    <t>Required to isolate the PCI DSS cardholder data environment from other network segments. PCI DSS Requirement 1.</t>
  </si>
  <si>
    <t>PCI DSS cardholder data environment (CDE) network-segmented with dedicated firewall rules and VLAN. Annual network segmentation validation conducted. PCI DSS external vulnerability scan passed Q1 2026.</t>
  </si>
  <si>
    <t>8.23</t>
  </si>
  <si>
    <t>Web filtering</t>
  </si>
  <si>
    <t>Required to prevent NovaCrest users from accessing malicious or inappropriate websites.</t>
  </si>
  <si>
    <t>Zscaler Internet Access deployed as cloud proxy for all internet traffic. Malicious site blocking, SSL inspection and application control enforced. Filtering logs reviewed weekly.</t>
  </si>
  <si>
    <t>8.24</t>
  </si>
  <si>
    <t>Use of cryptography</t>
  </si>
  <si>
    <t>Required to protect NovaCrest data at rest and in transit — PCI DSS and UK GDPR requirement.</t>
  </si>
  <si>
    <t>AES-256 encryption at rest for all storage containing personal or payment data. TLS 1.2+ enforced for all data in transit. Certificate lifecycle management via Azure Key Vault. Annual cryptographic review conducted.</t>
  </si>
  <si>
    <t>8.25</t>
  </si>
  <si>
    <t>Secure development lifecycle</t>
  </si>
  <si>
    <t>Required to embed security into NovaCrest's application development and change processes.</t>
  </si>
  <si>
    <t>SAST tooling (SonarQube) integrated into Azure DevOps CI/CD pipeline — blocks builds with Critical or High findings. OWASP Top 10 applied as security baseline. Security review gate in project governance. Annual DAST by third-party pen tester.</t>
  </si>
  <si>
    <t>8.26</t>
  </si>
  <si>
    <t>Application security requirements</t>
  </si>
  <si>
    <t>Required to define security requirements for all new and changed applications before development begins.</t>
  </si>
  <si>
    <t>Security requirements defined in project initiation template. OWASP Top 10 included as minimum baseline. Threat modelling not yet formalised for all new applications.</t>
  </si>
  <si>
    <t>8.27</t>
  </si>
  <si>
    <t>Secure system architecture and engineering principles</t>
  </si>
  <si>
    <t>Required to ensure information security is designed into NovaCrest systems from the outset.</t>
  </si>
  <si>
    <t>Architecture review process in place for significant changes. Security-by-design principles referenced in architecture standards. Formal threat modelling methodology not yet adopted.</t>
  </si>
  <si>
    <t>8.28</t>
  </si>
  <si>
    <t>Secure coding</t>
  </si>
  <si>
    <t>Required to prevent the introduction of vulnerabilities in NovaCrest's custom-developed applications.</t>
  </si>
  <si>
    <t>Secure coding standard published. SAST enforced in CI/CD. Developer security training not yet formally scheduled — action: mandatory OWASP training for all developers by Q3 2026.</t>
  </si>
  <si>
    <t>8.29</t>
  </si>
  <si>
    <t>Security testing in development and acceptance</t>
  </si>
  <si>
    <t>Required to identify and remediate security vulnerabilities before applications are deployed to production.</t>
  </si>
  <si>
    <t>SAST in CI/CD for automated testing on every build. UAT includes security acceptance criteria. Annual external penetration test covers key applications. DAST conducted on internet-facing applications.</t>
  </si>
  <si>
    <t>8.30</t>
  </si>
  <si>
    <t>Outsourced development</t>
  </si>
  <si>
    <t>Required to manage the security of software developed by third parties on NovaCrest's behalf.</t>
  </si>
  <si>
    <t>Security requirements included in all outsourced development contracts. Code review and SAST required before code acceptance. Third-party developer access via controlled non-production environment only.</t>
  </si>
  <si>
    <t>8.31</t>
  </si>
  <si>
    <t>Separation of development, test and production environments</t>
  </si>
  <si>
    <t>Required to prevent untested changes from impacting production systems and customer data.</t>
  </si>
  <si>
    <t>Separate Azure subscriptions for development, test and production. Cross-environment access prohibited. Production data not permitted in development or test environments without masking.</t>
  </si>
  <si>
    <t>8.32</t>
  </si>
  <si>
    <t>Change management</t>
  </si>
  <si>
    <t>Required to ensure all changes to NovaCrest systems are assessed, approved and implemented in a controlled manner.</t>
  </si>
  <si>
    <t>Informal change log maintained. Emergency change process defined. Formal Change Advisory Board (CAB) not yet established — action: implement formal CAB process by Q2 2026.</t>
  </si>
  <si>
    <t>8.33</t>
  </si>
  <si>
    <t>Test information</t>
  </si>
  <si>
    <t>Required to prevent the use of live customer or payment data in test and development environments.</t>
  </si>
  <si>
    <t>Payment card data masking in test environments confirmed (PCI DSS requirement). Customer PII masking 70% complete across test environments. Full masking targeted Q3 2026.</t>
  </si>
  <si>
    <t>8.34</t>
  </si>
  <si>
    <t>Protection of information systems during audit testing</t>
  </si>
  <si>
    <t>Required to ensure that audit and testing activities do not disrupt production systems or expose data.</t>
  </si>
  <si>
    <t>All audit and penetration testing conducted in test environment or via controlled production-read-only access. Audit testing windows agreed with IT Director. No destructive testing in production.</t>
  </si>
  <si>
    <t>Statement of Applicability — Summary Dashboard</t>
  </si>
  <si>
    <t>Auto-calculated from the Statement of Applicability sheet</t>
  </si>
  <si>
    <t>Implementation Status Overview</t>
  </si>
  <si>
    <t>Status</t>
  </si>
  <si>
    <t>Count</t>
  </si>
  <si>
    <t>% of 93 Controls</t>
  </si>
  <si>
    <t>Risk Indication</t>
  </si>
  <si>
    <t>Next Action</t>
  </si>
  <si>
    <t>Low — maintain and evidence</t>
  </si>
  <si>
    <t>Continue monitoring. Collect evidence for certification body.</t>
  </si>
  <si>
    <t>Medium — complete implementation</t>
  </si>
  <si>
    <t>Assign owners. Set target dates. Track to closure within 60 days.</t>
  </si>
  <si>
    <t>High — immediate remediation required</t>
  </si>
  <si>
    <t>Add to risk register. Include in corrective action plan. Priority for certification.</t>
  </si>
  <si>
    <t>Not Applicable / Excluded</t>
  </si>
  <si>
    <t>N/A</t>
  </si>
  <si>
    <t>Document formal exclusion justification in SoA.</t>
  </si>
  <si>
    <t>TOTAL</t>
  </si>
  <si>
    <t>100%</t>
  </si>
  <si>
    <t>Target: all 93 controls Implemented or formally excluded before certification.</t>
  </si>
  <si>
    <t>Controls by Category</t>
  </si>
  <si>
    <t>Category</t>
  </si>
  <si>
    <t>Total Controls</t>
  </si>
  <si>
    <t>DAY 3 TASK — Your 6 Controls to Change (see Day 3 SoA Personalisation Guide)</t>
  </si>
  <si>
    <t>Control</t>
  </si>
  <si>
    <t>Name</t>
  </si>
  <si>
    <t>Current Status</t>
  </si>
  <si>
    <t>Change To</t>
  </si>
  <si>
    <t>Your Justification (write in your own words)</t>
  </si>
  <si>
    <t>Threat Intelligence</t>
  </si>
  <si>
    <t>FS-ISAC membership + NCSC Early Warning = sufficient threat intel for NovaCrest's risk profile</t>
  </si>
  <si>
    <t>Cloud Services Security</t>
  </si>
  <si>
    <t>Azure audit confirmed Defender for Cloud not enabled and cloud policy unapproved — downgrade justified</t>
  </si>
  <si>
    <t>IS During Disruption</t>
  </si>
  <si>
    <t>BCP untested for 24 months — cannot evidence operational continuity controls</t>
  </si>
  <si>
    <t>Independent Review</t>
  </si>
  <si>
    <t>First internal audit completed April 2026 — upgrade justified, external review still pending</t>
  </si>
  <si>
    <t>Vulnerability Management</t>
  </si>
  <si>
    <t>Patching alone ≠ vulnerability management. No scanning programme exists — downgrade required</t>
  </si>
  <si>
    <t>Secure Development Lifecycle</t>
  </si>
  <si>
    <t>SAST in CI/CD + OWASP baseline + security review gate = fully implemented SDL</t>
  </si>
  <si>
    <t>All 93 Annex A controls assessed | Version 1.0 | 01 April 2026 | Owner: CISO | Classification: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</si>
</sst>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1A1A1A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b/>
      <sz val="10"/>
      <color rgb="FF276221"/>
      <name val="Calibri"/>
      <family val="2"/>
    </font>
    <font>
      <sz val="10"/>
      <color rgb="FF1F4E79"/>
      <name val="Calibri"/>
      <family val="2"/>
    </font>
    <font>
      <b/>
      <sz val="10"/>
      <color rgb="FF9C5700"/>
      <name val="Calibri"/>
      <family val="2"/>
    </font>
    <font>
      <b/>
      <sz val="10"/>
      <color rgb="FF9C0006"/>
      <name val="Calibri"/>
      <family val="2"/>
    </font>
    <font>
      <sz val="10"/>
      <color rgb="FF276221"/>
      <name val="Calibri"/>
      <family val="2"/>
    </font>
    <font>
      <sz val="10"/>
      <color rgb="FF7F4F24"/>
      <name val="Calibri"/>
      <family val="2"/>
    </font>
    <font>
      <sz val="10"/>
      <color rgb="FF4B0082"/>
      <name val="Calibri"/>
      <family val="2"/>
    </font>
    <font>
      <b/>
      <sz val="12"/>
      <color rgb="FF1F3864"/>
      <name val="Calibri"/>
      <family val="2"/>
    </font>
    <font>
      <sz val="10"/>
      <color rgb="FF9C5700"/>
      <name val="Calibri"/>
      <family val="2"/>
    </font>
    <font>
      <sz val="10"/>
      <color rgb="FF9C0006"/>
      <name val="Calibri"/>
      <family val="2"/>
    </font>
    <font>
      <b/>
      <sz val="10"/>
      <color rgb="FF1F4E79"/>
      <name val="Calibri"/>
      <family val="2"/>
    </font>
    <font>
      <b/>
      <sz val="10"/>
      <color rgb="FF2E75B6"/>
      <name val="Calibri"/>
      <family val="2"/>
    </font>
    <font>
      <sz val="10"/>
      <color rgb="FF2E75B6"/>
      <name val="Calibri"/>
      <family val="2"/>
    </font>
    <font>
      <b/>
      <sz val="11"/>
      <color rgb="FFFFFFFF"/>
      <name val="Calibri"/>
      <family val="2"/>
    </font>
    <font>
      <b/>
      <sz val="10"/>
      <color rgb="FF1A1A1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5F8FC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E6FF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2" fillId="0" borderId="0" xfId="0" applyFont="1"/>
    <xf numFmtId="0" fontId="5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164" fontId="9" fillId="6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center" vertical="center" wrapText="1"/>
    </xf>
    <xf numFmtId="164" fontId="13" fillId="9" borderId="2" xfId="0" applyNumberFormat="1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 wrapText="1"/>
    </xf>
    <xf numFmtId="164" fontId="14" fillId="10" borderId="2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showGridLines="0" tabSelected="1" workbookViewId="0">
      <pane ySplit="3" topLeftCell="A4" activePane="bottomLeft" state="frozen"/>
      <selection pane="bottomLeft" activeCell="A2" sqref="A2:H2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11" customWidth="1"/>
    <col min="4" max="4" width="48" customWidth="1"/>
    <col min="5" max="5" width="20" customWidth="1"/>
    <col min="6" max="6" width="16" customWidth="1"/>
    <col min="7" max="7" width="38" customWidth="1"/>
    <col min="8" max="8" width="15" customWidth="1"/>
  </cols>
  <sheetData>
    <row r="1" spans="1:8" ht="30" customHeight="1" x14ac:dyDescent="0.2">
      <c r="A1" s="44" t="s">
        <v>0</v>
      </c>
      <c r="B1" s="43"/>
      <c r="C1" s="43"/>
      <c r="D1" s="43"/>
      <c r="E1" s="43"/>
      <c r="F1" s="43"/>
      <c r="G1" s="43"/>
      <c r="H1" s="43"/>
    </row>
    <row r="2" spans="1:8" ht="18" customHeight="1" x14ac:dyDescent="0.2">
      <c r="A2" s="42" t="s">
        <v>443</v>
      </c>
      <c r="B2" s="43"/>
      <c r="C2" s="43"/>
      <c r="D2" s="43"/>
      <c r="E2" s="43"/>
      <c r="F2" s="43"/>
      <c r="G2" s="43"/>
      <c r="H2" s="43"/>
    </row>
    <row r="3" spans="1:8" ht="3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4" customHeight="1" x14ac:dyDescent="0.2">
      <c r="A4" s="2" t="s">
        <v>9</v>
      </c>
      <c r="B4" s="3" t="s">
        <v>10</v>
      </c>
      <c r="C4" s="4" t="s">
        <v>11</v>
      </c>
      <c r="D4" s="3" t="s">
        <v>12</v>
      </c>
      <c r="E4" s="4" t="s">
        <v>13</v>
      </c>
      <c r="F4" s="2" t="s">
        <v>14</v>
      </c>
      <c r="G4" s="3" t="s">
        <v>15</v>
      </c>
      <c r="H4" s="5" t="s">
        <v>16</v>
      </c>
    </row>
    <row r="5" spans="1:8" ht="44" customHeight="1" x14ac:dyDescent="0.2">
      <c r="A5" s="6" t="s">
        <v>17</v>
      </c>
      <c r="B5" s="7" t="s">
        <v>18</v>
      </c>
      <c r="C5" s="4" t="s">
        <v>11</v>
      </c>
      <c r="D5" s="7" t="s">
        <v>19</v>
      </c>
      <c r="E5" s="4" t="s">
        <v>13</v>
      </c>
      <c r="F5" s="6" t="s">
        <v>14</v>
      </c>
      <c r="G5" s="7" t="s">
        <v>20</v>
      </c>
      <c r="H5" s="5" t="s">
        <v>16</v>
      </c>
    </row>
    <row r="6" spans="1:8" ht="44" customHeight="1" x14ac:dyDescent="0.2">
      <c r="A6" s="2" t="s">
        <v>21</v>
      </c>
      <c r="B6" s="3" t="s">
        <v>22</v>
      </c>
      <c r="C6" s="4" t="s">
        <v>11</v>
      </c>
      <c r="D6" s="3" t="s">
        <v>23</v>
      </c>
      <c r="E6" s="8" t="s">
        <v>24</v>
      </c>
      <c r="F6" s="2" t="s">
        <v>25</v>
      </c>
      <c r="G6" s="3" t="s">
        <v>26</v>
      </c>
      <c r="H6" s="5" t="s">
        <v>16</v>
      </c>
    </row>
    <row r="7" spans="1:8" ht="44" customHeight="1" x14ac:dyDescent="0.2">
      <c r="A7" s="6" t="s">
        <v>27</v>
      </c>
      <c r="B7" s="7" t="s">
        <v>28</v>
      </c>
      <c r="C7" s="4" t="s">
        <v>11</v>
      </c>
      <c r="D7" s="7" t="s">
        <v>29</v>
      </c>
      <c r="E7" s="4" t="s">
        <v>13</v>
      </c>
      <c r="F7" s="6" t="s">
        <v>30</v>
      </c>
      <c r="G7" s="7" t="s">
        <v>31</v>
      </c>
      <c r="H7" s="5" t="s">
        <v>16</v>
      </c>
    </row>
    <row r="8" spans="1:8" ht="44" customHeight="1" x14ac:dyDescent="0.2">
      <c r="A8" s="2" t="s">
        <v>32</v>
      </c>
      <c r="B8" s="3" t="s">
        <v>33</v>
      </c>
      <c r="C8" s="4" t="s">
        <v>11</v>
      </c>
      <c r="D8" s="3" t="s">
        <v>34</v>
      </c>
      <c r="E8" s="4" t="s">
        <v>13</v>
      </c>
      <c r="F8" s="2" t="s">
        <v>14</v>
      </c>
      <c r="G8" s="3" t="s">
        <v>35</v>
      </c>
      <c r="H8" s="5" t="s">
        <v>16</v>
      </c>
    </row>
    <row r="9" spans="1:8" ht="44" customHeight="1" x14ac:dyDescent="0.2">
      <c r="A9" s="6" t="s">
        <v>36</v>
      </c>
      <c r="B9" s="7" t="s">
        <v>37</v>
      </c>
      <c r="C9" s="4" t="s">
        <v>11</v>
      </c>
      <c r="D9" s="7" t="s">
        <v>38</v>
      </c>
      <c r="E9" s="4" t="s">
        <v>13</v>
      </c>
      <c r="F9" s="6" t="s">
        <v>14</v>
      </c>
      <c r="G9" s="7" t="s">
        <v>39</v>
      </c>
      <c r="H9" s="5" t="s">
        <v>16</v>
      </c>
    </row>
    <row r="10" spans="1:8" ht="44" customHeight="1" x14ac:dyDescent="0.2">
      <c r="A10" s="2" t="s">
        <v>40</v>
      </c>
      <c r="B10" s="3" t="s">
        <v>41</v>
      </c>
      <c r="C10" s="4" t="s">
        <v>11</v>
      </c>
      <c r="D10" s="3" t="s">
        <v>42</v>
      </c>
      <c r="E10" s="4" t="s">
        <v>13</v>
      </c>
      <c r="F10" s="2" t="s">
        <v>14</v>
      </c>
      <c r="G10" s="3" t="s">
        <v>43</v>
      </c>
      <c r="H10" s="5" t="s">
        <v>16</v>
      </c>
    </row>
    <row r="11" spans="1:8" ht="44" customHeight="1" x14ac:dyDescent="0.2">
      <c r="A11" s="6" t="s">
        <v>44</v>
      </c>
      <c r="B11" s="7" t="s">
        <v>45</v>
      </c>
      <c r="C11" s="4" t="s">
        <v>11</v>
      </c>
      <c r="D11" s="7" t="s">
        <v>46</v>
      </c>
      <c r="E11" s="8" t="s">
        <v>24</v>
      </c>
      <c r="F11" s="6" t="s">
        <v>25</v>
      </c>
      <c r="G11" s="7" t="s">
        <v>47</v>
      </c>
      <c r="H11" s="5" t="s">
        <v>16</v>
      </c>
    </row>
    <row r="12" spans="1:8" ht="44" customHeight="1" x14ac:dyDescent="0.2">
      <c r="A12" s="2" t="s">
        <v>48</v>
      </c>
      <c r="B12" s="3" t="s">
        <v>49</v>
      </c>
      <c r="C12" s="4" t="s">
        <v>11</v>
      </c>
      <c r="D12" s="3" t="s">
        <v>50</v>
      </c>
      <c r="E12" s="8" t="s">
        <v>24</v>
      </c>
      <c r="F12" s="2" t="s">
        <v>25</v>
      </c>
      <c r="G12" s="3" t="s">
        <v>51</v>
      </c>
      <c r="H12" s="5" t="s">
        <v>16</v>
      </c>
    </row>
    <row r="13" spans="1:8" ht="44" customHeight="1" x14ac:dyDescent="0.2">
      <c r="A13" s="6" t="s">
        <v>52</v>
      </c>
      <c r="B13" s="7" t="s">
        <v>53</v>
      </c>
      <c r="C13" s="4" t="s">
        <v>11</v>
      </c>
      <c r="D13" s="7" t="s">
        <v>54</v>
      </c>
      <c r="E13" s="4" t="s">
        <v>13</v>
      </c>
      <c r="F13" s="6" t="s">
        <v>14</v>
      </c>
      <c r="G13" s="7" t="s">
        <v>55</v>
      </c>
      <c r="H13" s="5" t="s">
        <v>16</v>
      </c>
    </row>
    <row r="14" spans="1:8" ht="44" customHeight="1" x14ac:dyDescent="0.2">
      <c r="A14" s="2" t="s">
        <v>56</v>
      </c>
      <c r="B14" s="3" t="s">
        <v>57</v>
      </c>
      <c r="C14" s="4" t="s">
        <v>11</v>
      </c>
      <c r="D14" s="3" t="s">
        <v>58</v>
      </c>
      <c r="E14" s="4" t="s">
        <v>13</v>
      </c>
      <c r="F14" s="2" t="s">
        <v>59</v>
      </c>
      <c r="G14" s="3" t="s">
        <v>60</v>
      </c>
      <c r="H14" s="5" t="s">
        <v>16</v>
      </c>
    </row>
    <row r="15" spans="1:8" ht="44" customHeight="1" x14ac:dyDescent="0.2">
      <c r="A15" s="6" t="s">
        <v>61</v>
      </c>
      <c r="B15" s="7" t="s">
        <v>62</v>
      </c>
      <c r="C15" s="4" t="s">
        <v>11</v>
      </c>
      <c r="D15" s="7" t="s">
        <v>63</v>
      </c>
      <c r="E15" s="8" t="s">
        <v>24</v>
      </c>
      <c r="F15" s="6" t="s">
        <v>14</v>
      </c>
      <c r="G15" s="7" t="s">
        <v>64</v>
      </c>
      <c r="H15" s="5" t="s">
        <v>16</v>
      </c>
    </row>
    <row r="16" spans="1:8" ht="44" customHeight="1" x14ac:dyDescent="0.2">
      <c r="A16" s="2" t="s">
        <v>65</v>
      </c>
      <c r="B16" s="3" t="s">
        <v>66</v>
      </c>
      <c r="C16" s="4" t="s">
        <v>11</v>
      </c>
      <c r="D16" s="3" t="s">
        <v>67</v>
      </c>
      <c r="E16" s="8" t="s">
        <v>24</v>
      </c>
      <c r="F16" s="2" t="s">
        <v>68</v>
      </c>
      <c r="G16" s="3" t="s">
        <v>69</v>
      </c>
      <c r="H16" s="5" t="s">
        <v>16</v>
      </c>
    </row>
    <row r="17" spans="1:8" ht="44" customHeight="1" x14ac:dyDescent="0.2">
      <c r="A17" s="6" t="s">
        <v>70</v>
      </c>
      <c r="B17" s="7" t="s">
        <v>71</v>
      </c>
      <c r="C17" s="4" t="s">
        <v>11</v>
      </c>
      <c r="D17" s="7" t="s">
        <v>72</v>
      </c>
      <c r="E17" s="4" t="s">
        <v>13</v>
      </c>
      <c r="F17" s="6" t="s">
        <v>25</v>
      </c>
      <c r="G17" s="7" t="s">
        <v>73</v>
      </c>
      <c r="H17" s="5" t="s">
        <v>16</v>
      </c>
    </row>
    <row r="18" spans="1:8" ht="44" customHeight="1" x14ac:dyDescent="0.2">
      <c r="A18" s="2" t="s">
        <v>74</v>
      </c>
      <c r="B18" s="3" t="s">
        <v>75</v>
      </c>
      <c r="C18" s="4" t="s">
        <v>11</v>
      </c>
      <c r="D18" s="3" t="s">
        <v>76</v>
      </c>
      <c r="E18" s="4" t="s">
        <v>13</v>
      </c>
      <c r="F18" s="2" t="s">
        <v>25</v>
      </c>
      <c r="G18" s="3" t="s">
        <v>77</v>
      </c>
      <c r="H18" s="5" t="s">
        <v>16</v>
      </c>
    </row>
    <row r="19" spans="1:8" ht="44" customHeight="1" x14ac:dyDescent="0.2">
      <c r="A19" s="6" t="s">
        <v>78</v>
      </c>
      <c r="B19" s="7" t="s">
        <v>79</v>
      </c>
      <c r="C19" s="4" t="s">
        <v>11</v>
      </c>
      <c r="D19" s="7" t="s">
        <v>80</v>
      </c>
      <c r="E19" s="4" t="s">
        <v>13</v>
      </c>
      <c r="F19" s="6" t="s">
        <v>25</v>
      </c>
      <c r="G19" s="7" t="s">
        <v>81</v>
      </c>
      <c r="H19" s="5" t="s">
        <v>16</v>
      </c>
    </row>
    <row r="20" spans="1:8" ht="44" customHeight="1" x14ac:dyDescent="0.2">
      <c r="A20" s="2" t="s">
        <v>82</v>
      </c>
      <c r="B20" s="3" t="s">
        <v>83</v>
      </c>
      <c r="C20" s="4" t="s">
        <v>11</v>
      </c>
      <c r="D20" s="3" t="s">
        <v>84</v>
      </c>
      <c r="E20" s="8" t="s">
        <v>24</v>
      </c>
      <c r="F20" s="2" t="s">
        <v>25</v>
      </c>
      <c r="G20" s="3" t="s">
        <v>85</v>
      </c>
      <c r="H20" s="5" t="s">
        <v>16</v>
      </c>
    </row>
    <row r="21" spans="1:8" ht="44" customHeight="1" x14ac:dyDescent="0.2">
      <c r="A21" s="6" t="s">
        <v>86</v>
      </c>
      <c r="B21" s="7" t="s">
        <v>87</v>
      </c>
      <c r="C21" s="4" t="s">
        <v>11</v>
      </c>
      <c r="D21" s="7" t="s">
        <v>88</v>
      </c>
      <c r="E21" s="4" t="s">
        <v>13</v>
      </c>
      <c r="F21" s="6" t="s">
        <v>25</v>
      </c>
      <c r="G21" s="7" t="s">
        <v>89</v>
      </c>
      <c r="H21" s="5" t="s">
        <v>16</v>
      </c>
    </row>
    <row r="22" spans="1:8" ht="44" customHeight="1" x14ac:dyDescent="0.2">
      <c r="A22" s="2" t="s">
        <v>90</v>
      </c>
      <c r="B22" s="3" t="s">
        <v>91</v>
      </c>
      <c r="C22" s="4" t="s">
        <v>11</v>
      </c>
      <c r="D22" s="3" t="s">
        <v>92</v>
      </c>
      <c r="E22" s="8" t="s">
        <v>24</v>
      </c>
      <c r="F22" s="2" t="s">
        <v>93</v>
      </c>
      <c r="G22" s="3" t="s">
        <v>94</v>
      </c>
      <c r="H22" s="5" t="s">
        <v>16</v>
      </c>
    </row>
    <row r="23" spans="1:8" ht="44" customHeight="1" x14ac:dyDescent="0.2">
      <c r="A23" s="6" t="s">
        <v>95</v>
      </c>
      <c r="B23" s="7" t="s">
        <v>96</v>
      </c>
      <c r="C23" s="4" t="s">
        <v>11</v>
      </c>
      <c r="D23" s="7" t="s">
        <v>97</v>
      </c>
      <c r="E23" s="4" t="s">
        <v>13</v>
      </c>
      <c r="F23" s="6" t="s">
        <v>98</v>
      </c>
      <c r="G23" s="7" t="s">
        <v>99</v>
      </c>
      <c r="H23" s="5" t="s">
        <v>16</v>
      </c>
    </row>
    <row r="24" spans="1:8" ht="44" customHeight="1" x14ac:dyDescent="0.2">
      <c r="A24" s="2" t="s">
        <v>100</v>
      </c>
      <c r="B24" s="3" t="s">
        <v>101</v>
      </c>
      <c r="C24" s="4" t="s">
        <v>11</v>
      </c>
      <c r="D24" s="3" t="s">
        <v>102</v>
      </c>
      <c r="E24" s="8" t="s">
        <v>24</v>
      </c>
      <c r="F24" s="2" t="s">
        <v>25</v>
      </c>
      <c r="G24" s="3" t="s">
        <v>103</v>
      </c>
      <c r="H24" s="5" t="s">
        <v>16</v>
      </c>
    </row>
    <row r="25" spans="1:8" ht="44" customHeight="1" x14ac:dyDescent="0.2">
      <c r="A25" s="6" t="s">
        <v>104</v>
      </c>
      <c r="B25" s="7" t="s">
        <v>105</v>
      </c>
      <c r="C25" s="4" t="s">
        <v>11</v>
      </c>
      <c r="D25" s="7" t="s">
        <v>106</v>
      </c>
      <c r="E25" s="9" t="s">
        <v>107</v>
      </c>
      <c r="F25" s="6" t="s">
        <v>93</v>
      </c>
      <c r="G25" s="7" t="s">
        <v>108</v>
      </c>
      <c r="H25" s="5" t="s">
        <v>16</v>
      </c>
    </row>
    <row r="26" spans="1:8" ht="44" customHeight="1" x14ac:dyDescent="0.2">
      <c r="A26" s="2" t="s">
        <v>109</v>
      </c>
      <c r="B26" s="3" t="s">
        <v>110</v>
      </c>
      <c r="C26" s="4" t="s">
        <v>11</v>
      </c>
      <c r="D26" s="3" t="s">
        <v>111</v>
      </c>
      <c r="E26" s="9" t="s">
        <v>107</v>
      </c>
      <c r="F26" s="2" t="s">
        <v>25</v>
      </c>
      <c r="G26" s="3" t="s">
        <v>112</v>
      </c>
      <c r="H26" s="5" t="s">
        <v>16</v>
      </c>
    </row>
    <row r="27" spans="1:8" ht="44" customHeight="1" x14ac:dyDescent="0.2">
      <c r="A27" s="6" t="s">
        <v>113</v>
      </c>
      <c r="B27" s="7" t="s">
        <v>114</v>
      </c>
      <c r="C27" s="4" t="s">
        <v>11</v>
      </c>
      <c r="D27" s="7" t="s">
        <v>115</v>
      </c>
      <c r="E27" s="4" t="s">
        <v>13</v>
      </c>
      <c r="F27" s="6" t="s">
        <v>14</v>
      </c>
      <c r="G27" s="7" t="s">
        <v>116</v>
      </c>
      <c r="H27" s="5" t="s">
        <v>16</v>
      </c>
    </row>
    <row r="28" spans="1:8" ht="44" customHeight="1" x14ac:dyDescent="0.2">
      <c r="A28" s="2" t="s">
        <v>117</v>
      </c>
      <c r="B28" s="3" t="s">
        <v>118</v>
      </c>
      <c r="C28" s="4" t="s">
        <v>11</v>
      </c>
      <c r="D28" s="3" t="s">
        <v>119</v>
      </c>
      <c r="E28" s="4" t="s">
        <v>13</v>
      </c>
      <c r="F28" s="2" t="s">
        <v>68</v>
      </c>
      <c r="G28" s="3" t="s">
        <v>120</v>
      </c>
      <c r="H28" s="5" t="s">
        <v>16</v>
      </c>
    </row>
    <row r="29" spans="1:8" ht="44" customHeight="1" x14ac:dyDescent="0.2">
      <c r="A29" s="6" t="s">
        <v>121</v>
      </c>
      <c r="B29" s="7" t="s">
        <v>122</v>
      </c>
      <c r="C29" s="4" t="s">
        <v>11</v>
      </c>
      <c r="D29" s="7" t="s">
        <v>123</v>
      </c>
      <c r="E29" s="4" t="s">
        <v>13</v>
      </c>
      <c r="F29" s="6" t="s">
        <v>14</v>
      </c>
      <c r="G29" s="7" t="s">
        <v>124</v>
      </c>
      <c r="H29" s="5" t="s">
        <v>16</v>
      </c>
    </row>
    <row r="30" spans="1:8" ht="44" customHeight="1" x14ac:dyDescent="0.2">
      <c r="A30" s="2" t="s">
        <v>125</v>
      </c>
      <c r="B30" s="3" t="s">
        <v>126</v>
      </c>
      <c r="C30" s="4" t="s">
        <v>11</v>
      </c>
      <c r="D30" s="3" t="s">
        <v>127</v>
      </c>
      <c r="E30" s="4" t="s">
        <v>13</v>
      </c>
      <c r="F30" s="2" t="s">
        <v>14</v>
      </c>
      <c r="G30" s="3" t="s">
        <v>128</v>
      </c>
      <c r="H30" s="5" t="s">
        <v>16</v>
      </c>
    </row>
    <row r="31" spans="1:8" ht="44" customHeight="1" x14ac:dyDescent="0.2">
      <c r="A31" s="6" t="s">
        <v>129</v>
      </c>
      <c r="B31" s="7" t="s">
        <v>130</v>
      </c>
      <c r="C31" s="4" t="s">
        <v>11</v>
      </c>
      <c r="D31" s="7" t="s">
        <v>131</v>
      </c>
      <c r="E31" s="4" t="s">
        <v>13</v>
      </c>
      <c r="F31" s="6" t="s">
        <v>68</v>
      </c>
      <c r="G31" s="7" t="s">
        <v>132</v>
      </c>
      <c r="H31" s="5" t="s">
        <v>16</v>
      </c>
    </row>
    <row r="32" spans="1:8" ht="44" customHeight="1" x14ac:dyDescent="0.2">
      <c r="A32" s="2" t="s">
        <v>133</v>
      </c>
      <c r="B32" s="3" t="s">
        <v>134</v>
      </c>
      <c r="C32" s="4" t="s">
        <v>11</v>
      </c>
      <c r="D32" s="3" t="s">
        <v>135</v>
      </c>
      <c r="E32" s="9" t="s">
        <v>107</v>
      </c>
      <c r="F32" s="2" t="s">
        <v>14</v>
      </c>
      <c r="G32" s="3" t="s">
        <v>136</v>
      </c>
      <c r="H32" s="5" t="s">
        <v>16</v>
      </c>
    </row>
    <row r="33" spans="1:8" ht="44" customHeight="1" x14ac:dyDescent="0.2">
      <c r="A33" s="6" t="s">
        <v>137</v>
      </c>
      <c r="B33" s="7" t="s">
        <v>138</v>
      </c>
      <c r="C33" s="4" t="s">
        <v>11</v>
      </c>
      <c r="D33" s="7" t="s">
        <v>139</v>
      </c>
      <c r="E33" s="8" t="s">
        <v>24</v>
      </c>
      <c r="F33" s="6" t="s">
        <v>25</v>
      </c>
      <c r="G33" s="7" t="s">
        <v>140</v>
      </c>
      <c r="H33" s="5" t="s">
        <v>16</v>
      </c>
    </row>
    <row r="34" spans="1:8" ht="44" customHeight="1" x14ac:dyDescent="0.2">
      <c r="A34" s="2" t="s">
        <v>141</v>
      </c>
      <c r="B34" s="3" t="s">
        <v>142</v>
      </c>
      <c r="C34" s="4" t="s">
        <v>11</v>
      </c>
      <c r="D34" s="3" t="s">
        <v>143</v>
      </c>
      <c r="E34" s="4" t="s">
        <v>13</v>
      </c>
      <c r="F34" s="2" t="s">
        <v>144</v>
      </c>
      <c r="G34" s="3" t="s">
        <v>145</v>
      </c>
      <c r="H34" s="5" t="s">
        <v>16</v>
      </c>
    </row>
    <row r="35" spans="1:8" ht="44" customHeight="1" x14ac:dyDescent="0.2">
      <c r="A35" s="6" t="s">
        <v>146</v>
      </c>
      <c r="B35" s="7" t="s">
        <v>147</v>
      </c>
      <c r="C35" s="4" t="s">
        <v>11</v>
      </c>
      <c r="D35" s="7" t="s">
        <v>148</v>
      </c>
      <c r="E35" s="4" t="s">
        <v>13</v>
      </c>
      <c r="F35" s="6" t="s">
        <v>149</v>
      </c>
      <c r="G35" s="7" t="s">
        <v>150</v>
      </c>
      <c r="H35" s="5" t="s">
        <v>16</v>
      </c>
    </row>
    <row r="36" spans="1:8" ht="44" customHeight="1" x14ac:dyDescent="0.2">
      <c r="A36" s="2" t="s">
        <v>151</v>
      </c>
      <c r="B36" s="3" t="s">
        <v>152</v>
      </c>
      <c r="C36" s="4" t="s">
        <v>11</v>
      </c>
      <c r="D36" s="3" t="s">
        <v>153</v>
      </c>
      <c r="E36" s="4" t="s">
        <v>13</v>
      </c>
      <c r="F36" s="2" t="s">
        <v>154</v>
      </c>
      <c r="G36" s="3" t="s">
        <v>155</v>
      </c>
      <c r="H36" s="5" t="s">
        <v>16</v>
      </c>
    </row>
    <row r="37" spans="1:8" ht="44" customHeight="1" x14ac:dyDescent="0.2">
      <c r="A37" s="6" t="s">
        <v>156</v>
      </c>
      <c r="B37" s="7" t="s">
        <v>157</v>
      </c>
      <c r="C37" s="4" t="s">
        <v>11</v>
      </c>
      <c r="D37" s="7" t="s">
        <v>158</v>
      </c>
      <c r="E37" s="4" t="s">
        <v>13</v>
      </c>
      <c r="F37" s="6" t="s">
        <v>159</v>
      </c>
      <c r="G37" s="7" t="s">
        <v>160</v>
      </c>
      <c r="H37" s="5" t="s">
        <v>16</v>
      </c>
    </row>
    <row r="38" spans="1:8" ht="44" customHeight="1" x14ac:dyDescent="0.2">
      <c r="A38" s="2" t="s">
        <v>161</v>
      </c>
      <c r="B38" s="3" t="s">
        <v>162</v>
      </c>
      <c r="C38" s="4" t="s">
        <v>11</v>
      </c>
      <c r="D38" s="3" t="s">
        <v>163</v>
      </c>
      <c r="E38" s="8" t="s">
        <v>24</v>
      </c>
      <c r="F38" s="2" t="s">
        <v>14</v>
      </c>
      <c r="G38" s="3" t="s">
        <v>164</v>
      </c>
      <c r="H38" s="5" t="s">
        <v>16</v>
      </c>
    </row>
    <row r="39" spans="1:8" ht="44" customHeight="1" x14ac:dyDescent="0.2">
      <c r="A39" s="6" t="s">
        <v>165</v>
      </c>
      <c r="B39" s="7" t="s">
        <v>166</v>
      </c>
      <c r="C39" s="4" t="s">
        <v>11</v>
      </c>
      <c r="D39" s="7" t="s">
        <v>167</v>
      </c>
      <c r="E39" s="8" t="s">
        <v>24</v>
      </c>
      <c r="F39" s="6" t="s">
        <v>14</v>
      </c>
      <c r="G39" s="7" t="s">
        <v>168</v>
      </c>
      <c r="H39" s="5" t="s">
        <v>16</v>
      </c>
    </row>
    <row r="40" spans="1:8" ht="44" customHeight="1" x14ac:dyDescent="0.2">
      <c r="A40" s="2" t="s">
        <v>169</v>
      </c>
      <c r="B40" s="3" t="s">
        <v>170</v>
      </c>
      <c r="C40" s="4" t="s">
        <v>11</v>
      </c>
      <c r="D40" s="3" t="s">
        <v>171</v>
      </c>
      <c r="E40" s="8" t="s">
        <v>24</v>
      </c>
      <c r="F40" s="2" t="s">
        <v>25</v>
      </c>
      <c r="G40" s="3" t="s">
        <v>172</v>
      </c>
      <c r="H40" s="5" t="s">
        <v>16</v>
      </c>
    </row>
    <row r="41" spans="1:8" ht="44" customHeight="1" x14ac:dyDescent="0.2">
      <c r="A41" s="6" t="s">
        <v>173</v>
      </c>
      <c r="B41" s="7" t="s">
        <v>174</v>
      </c>
      <c r="C41" s="4" t="s">
        <v>11</v>
      </c>
      <c r="D41" s="7" t="s">
        <v>175</v>
      </c>
      <c r="E41" s="4" t="s">
        <v>13</v>
      </c>
      <c r="F41" s="6" t="s">
        <v>59</v>
      </c>
      <c r="G41" s="7" t="s">
        <v>176</v>
      </c>
      <c r="H41" s="10" t="s">
        <v>177</v>
      </c>
    </row>
    <row r="42" spans="1:8" ht="44" customHeight="1" x14ac:dyDescent="0.2">
      <c r="A42" s="2" t="s">
        <v>178</v>
      </c>
      <c r="B42" s="3" t="s">
        <v>179</v>
      </c>
      <c r="C42" s="4" t="s">
        <v>11</v>
      </c>
      <c r="D42" s="3" t="s">
        <v>180</v>
      </c>
      <c r="E42" s="4" t="s">
        <v>13</v>
      </c>
      <c r="F42" s="2" t="s">
        <v>59</v>
      </c>
      <c r="G42" s="3" t="s">
        <v>181</v>
      </c>
      <c r="H42" s="10" t="s">
        <v>177</v>
      </c>
    </row>
    <row r="43" spans="1:8" ht="44" customHeight="1" x14ac:dyDescent="0.2">
      <c r="A43" s="6" t="s">
        <v>182</v>
      </c>
      <c r="B43" s="7" t="s">
        <v>183</v>
      </c>
      <c r="C43" s="4" t="s">
        <v>11</v>
      </c>
      <c r="D43" s="7" t="s">
        <v>184</v>
      </c>
      <c r="E43" s="8" t="s">
        <v>24</v>
      </c>
      <c r="F43" s="6" t="s">
        <v>185</v>
      </c>
      <c r="G43" s="7" t="s">
        <v>186</v>
      </c>
      <c r="H43" s="10" t="s">
        <v>177</v>
      </c>
    </row>
    <row r="44" spans="1:8" ht="44" customHeight="1" x14ac:dyDescent="0.2">
      <c r="A44" s="2" t="s">
        <v>187</v>
      </c>
      <c r="B44" s="3" t="s">
        <v>188</v>
      </c>
      <c r="C44" s="4" t="s">
        <v>11</v>
      </c>
      <c r="D44" s="3" t="s">
        <v>189</v>
      </c>
      <c r="E44" s="4" t="s">
        <v>13</v>
      </c>
      <c r="F44" s="2" t="s">
        <v>59</v>
      </c>
      <c r="G44" s="3" t="s">
        <v>190</v>
      </c>
      <c r="H44" s="10" t="s">
        <v>177</v>
      </c>
    </row>
    <row r="45" spans="1:8" ht="44" customHeight="1" x14ac:dyDescent="0.2">
      <c r="A45" s="6" t="s">
        <v>191</v>
      </c>
      <c r="B45" s="7" t="s">
        <v>192</v>
      </c>
      <c r="C45" s="4" t="s">
        <v>11</v>
      </c>
      <c r="D45" s="7" t="s">
        <v>193</v>
      </c>
      <c r="E45" s="4" t="s">
        <v>13</v>
      </c>
      <c r="F45" s="6" t="s">
        <v>59</v>
      </c>
      <c r="G45" s="7" t="s">
        <v>194</v>
      </c>
      <c r="H45" s="10" t="s">
        <v>177</v>
      </c>
    </row>
    <row r="46" spans="1:8" ht="44" customHeight="1" x14ac:dyDescent="0.2">
      <c r="A46" s="2" t="s">
        <v>195</v>
      </c>
      <c r="B46" s="3" t="s">
        <v>196</v>
      </c>
      <c r="C46" s="4" t="s">
        <v>11</v>
      </c>
      <c r="D46" s="3" t="s">
        <v>197</v>
      </c>
      <c r="E46" s="4" t="s">
        <v>13</v>
      </c>
      <c r="F46" s="2" t="s">
        <v>149</v>
      </c>
      <c r="G46" s="3" t="s">
        <v>198</v>
      </c>
      <c r="H46" s="10" t="s">
        <v>177</v>
      </c>
    </row>
    <row r="47" spans="1:8" ht="44" customHeight="1" x14ac:dyDescent="0.2">
      <c r="A47" s="6" t="s">
        <v>199</v>
      </c>
      <c r="B47" s="7" t="s">
        <v>200</v>
      </c>
      <c r="C47" s="4" t="s">
        <v>11</v>
      </c>
      <c r="D47" s="7" t="s">
        <v>201</v>
      </c>
      <c r="E47" s="4" t="s">
        <v>13</v>
      </c>
      <c r="F47" s="6" t="s">
        <v>68</v>
      </c>
      <c r="G47" s="7" t="s">
        <v>202</v>
      </c>
      <c r="H47" s="10" t="s">
        <v>177</v>
      </c>
    </row>
    <row r="48" spans="1:8" ht="44" customHeight="1" x14ac:dyDescent="0.2">
      <c r="A48" s="2" t="s">
        <v>203</v>
      </c>
      <c r="B48" s="3" t="s">
        <v>204</v>
      </c>
      <c r="C48" s="4" t="s">
        <v>11</v>
      </c>
      <c r="D48" s="3" t="s">
        <v>205</v>
      </c>
      <c r="E48" s="4" t="s">
        <v>13</v>
      </c>
      <c r="F48" s="2" t="s">
        <v>68</v>
      </c>
      <c r="G48" s="3" t="s">
        <v>206</v>
      </c>
      <c r="H48" s="10" t="s">
        <v>177</v>
      </c>
    </row>
    <row r="49" spans="1:8" ht="44" customHeight="1" x14ac:dyDescent="0.2">
      <c r="A49" s="6" t="s">
        <v>207</v>
      </c>
      <c r="B49" s="7" t="s">
        <v>208</v>
      </c>
      <c r="C49" s="4" t="s">
        <v>11</v>
      </c>
      <c r="D49" s="7" t="s">
        <v>209</v>
      </c>
      <c r="E49" s="4" t="s">
        <v>13</v>
      </c>
      <c r="F49" s="6" t="s">
        <v>210</v>
      </c>
      <c r="G49" s="7" t="s">
        <v>211</v>
      </c>
      <c r="H49" s="11" t="s">
        <v>212</v>
      </c>
    </row>
    <row r="50" spans="1:8" ht="44" customHeight="1" x14ac:dyDescent="0.2">
      <c r="A50" s="2" t="s">
        <v>213</v>
      </c>
      <c r="B50" s="3" t="s">
        <v>214</v>
      </c>
      <c r="C50" s="4" t="s">
        <v>11</v>
      </c>
      <c r="D50" s="3" t="s">
        <v>215</v>
      </c>
      <c r="E50" s="4" t="s">
        <v>13</v>
      </c>
      <c r="F50" s="2" t="s">
        <v>210</v>
      </c>
      <c r="G50" s="3" t="s">
        <v>216</v>
      </c>
      <c r="H50" s="11" t="s">
        <v>212</v>
      </c>
    </row>
    <row r="51" spans="1:8" ht="44" customHeight="1" x14ac:dyDescent="0.2">
      <c r="A51" s="6" t="s">
        <v>217</v>
      </c>
      <c r="B51" s="7" t="s">
        <v>218</v>
      </c>
      <c r="C51" s="4" t="s">
        <v>11</v>
      </c>
      <c r="D51" s="7" t="s">
        <v>219</v>
      </c>
      <c r="E51" s="4" t="s">
        <v>13</v>
      </c>
      <c r="F51" s="6" t="s">
        <v>210</v>
      </c>
      <c r="G51" s="7" t="s">
        <v>220</v>
      </c>
      <c r="H51" s="11" t="s">
        <v>212</v>
      </c>
    </row>
    <row r="52" spans="1:8" ht="44" customHeight="1" x14ac:dyDescent="0.2">
      <c r="A52" s="2" t="s">
        <v>221</v>
      </c>
      <c r="B52" s="3" t="s">
        <v>222</v>
      </c>
      <c r="C52" s="4" t="s">
        <v>11</v>
      </c>
      <c r="D52" s="3" t="s">
        <v>223</v>
      </c>
      <c r="E52" s="4" t="s">
        <v>13</v>
      </c>
      <c r="F52" s="2" t="s">
        <v>210</v>
      </c>
      <c r="G52" s="3" t="s">
        <v>224</v>
      </c>
      <c r="H52" s="11" t="s">
        <v>212</v>
      </c>
    </row>
    <row r="53" spans="1:8" ht="44" customHeight="1" x14ac:dyDescent="0.2">
      <c r="A53" s="6" t="s">
        <v>225</v>
      </c>
      <c r="B53" s="7" t="s">
        <v>226</v>
      </c>
      <c r="C53" s="4" t="s">
        <v>11</v>
      </c>
      <c r="D53" s="7" t="s">
        <v>227</v>
      </c>
      <c r="E53" s="4" t="s">
        <v>13</v>
      </c>
      <c r="F53" s="6" t="s">
        <v>210</v>
      </c>
      <c r="G53" s="7" t="s">
        <v>228</v>
      </c>
      <c r="H53" s="11" t="s">
        <v>212</v>
      </c>
    </row>
    <row r="54" spans="1:8" ht="44" customHeight="1" x14ac:dyDescent="0.2">
      <c r="A54" s="2" t="s">
        <v>229</v>
      </c>
      <c r="B54" s="3" t="s">
        <v>230</v>
      </c>
      <c r="C54" s="4" t="s">
        <v>11</v>
      </c>
      <c r="D54" s="3" t="s">
        <v>231</v>
      </c>
      <c r="E54" s="4" t="s">
        <v>13</v>
      </c>
      <c r="F54" s="2" t="s">
        <v>25</v>
      </c>
      <c r="G54" s="3" t="s">
        <v>232</v>
      </c>
      <c r="H54" s="11" t="s">
        <v>212</v>
      </c>
    </row>
    <row r="55" spans="1:8" ht="44" customHeight="1" x14ac:dyDescent="0.2">
      <c r="A55" s="6" t="s">
        <v>233</v>
      </c>
      <c r="B55" s="7" t="s">
        <v>234</v>
      </c>
      <c r="C55" s="4" t="s">
        <v>11</v>
      </c>
      <c r="D55" s="7" t="s">
        <v>235</v>
      </c>
      <c r="E55" s="4" t="s">
        <v>13</v>
      </c>
      <c r="F55" s="6" t="s">
        <v>68</v>
      </c>
      <c r="G55" s="7" t="s">
        <v>236</v>
      </c>
      <c r="H55" s="11" t="s">
        <v>212</v>
      </c>
    </row>
    <row r="56" spans="1:8" ht="44" customHeight="1" x14ac:dyDescent="0.2">
      <c r="A56" s="2" t="s">
        <v>237</v>
      </c>
      <c r="B56" s="3" t="s">
        <v>238</v>
      </c>
      <c r="C56" s="4" t="s">
        <v>11</v>
      </c>
      <c r="D56" s="3" t="s">
        <v>239</v>
      </c>
      <c r="E56" s="4" t="s">
        <v>13</v>
      </c>
      <c r="F56" s="2" t="s">
        <v>25</v>
      </c>
      <c r="G56" s="3" t="s">
        <v>240</v>
      </c>
      <c r="H56" s="11" t="s">
        <v>212</v>
      </c>
    </row>
    <row r="57" spans="1:8" ht="44" customHeight="1" x14ac:dyDescent="0.2">
      <c r="A57" s="6" t="s">
        <v>241</v>
      </c>
      <c r="B57" s="7" t="s">
        <v>242</v>
      </c>
      <c r="C57" s="4" t="s">
        <v>11</v>
      </c>
      <c r="D57" s="7" t="s">
        <v>243</v>
      </c>
      <c r="E57" s="4" t="s">
        <v>13</v>
      </c>
      <c r="F57" s="6" t="s">
        <v>25</v>
      </c>
      <c r="G57" s="7" t="s">
        <v>244</v>
      </c>
      <c r="H57" s="11" t="s">
        <v>212</v>
      </c>
    </row>
    <row r="58" spans="1:8" ht="44" customHeight="1" x14ac:dyDescent="0.2">
      <c r="A58" s="2" t="s">
        <v>245</v>
      </c>
      <c r="B58" s="3" t="s">
        <v>246</v>
      </c>
      <c r="C58" s="4" t="s">
        <v>11</v>
      </c>
      <c r="D58" s="3" t="s">
        <v>247</v>
      </c>
      <c r="E58" s="4" t="s">
        <v>13</v>
      </c>
      <c r="F58" s="2" t="s">
        <v>25</v>
      </c>
      <c r="G58" s="3" t="s">
        <v>248</v>
      </c>
      <c r="H58" s="11" t="s">
        <v>212</v>
      </c>
    </row>
    <row r="59" spans="1:8" ht="44" customHeight="1" x14ac:dyDescent="0.2">
      <c r="A59" s="6" t="s">
        <v>249</v>
      </c>
      <c r="B59" s="7" t="s">
        <v>250</v>
      </c>
      <c r="C59" s="4" t="s">
        <v>11</v>
      </c>
      <c r="D59" s="7" t="s">
        <v>251</v>
      </c>
      <c r="E59" s="4" t="s">
        <v>13</v>
      </c>
      <c r="F59" s="6" t="s">
        <v>210</v>
      </c>
      <c r="G59" s="7" t="s">
        <v>252</v>
      </c>
      <c r="H59" s="11" t="s">
        <v>212</v>
      </c>
    </row>
    <row r="60" spans="1:8" ht="44" customHeight="1" x14ac:dyDescent="0.2">
      <c r="A60" s="2" t="s">
        <v>253</v>
      </c>
      <c r="B60" s="3" t="s">
        <v>254</v>
      </c>
      <c r="C60" s="4" t="s">
        <v>11</v>
      </c>
      <c r="D60" s="3" t="s">
        <v>255</v>
      </c>
      <c r="E60" s="4" t="s">
        <v>13</v>
      </c>
      <c r="F60" s="2" t="s">
        <v>25</v>
      </c>
      <c r="G60" s="3" t="s">
        <v>256</v>
      </c>
      <c r="H60" s="11" t="s">
        <v>212</v>
      </c>
    </row>
    <row r="61" spans="1:8" ht="44" customHeight="1" x14ac:dyDescent="0.2">
      <c r="A61" s="6" t="s">
        <v>257</v>
      </c>
      <c r="B61" s="7" t="s">
        <v>258</v>
      </c>
      <c r="C61" s="4" t="s">
        <v>11</v>
      </c>
      <c r="D61" s="7" t="s">
        <v>259</v>
      </c>
      <c r="E61" s="4" t="s">
        <v>13</v>
      </c>
      <c r="F61" s="6" t="s">
        <v>25</v>
      </c>
      <c r="G61" s="7" t="s">
        <v>260</v>
      </c>
      <c r="H61" s="11" t="s">
        <v>212</v>
      </c>
    </row>
    <row r="62" spans="1:8" ht="44" customHeight="1" x14ac:dyDescent="0.2">
      <c r="A62" s="2" t="s">
        <v>261</v>
      </c>
      <c r="B62" s="3" t="s">
        <v>262</v>
      </c>
      <c r="C62" s="4" t="s">
        <v>11</v>
      </c>
      <c r="D62" s="3" t="s">
        <v>263</v>
      </c>
      <c r="E62" s="4" t="s">
        <v>13</v>
      </c>
      <c r="F62" s="2" t="s">
        <v>25</v>
      </c>
      <c r="G62" s="3" t="s">
        <v>264</v>
      </c>
      <c r="H62" s="11" t="s">
        <v>212</v>
      </c>
    </row>
    <row r="63" spans="1:8" ht="44" customHeight="1" x14ac:dyDescent="0.2">
      <c r="A63" s="6" t="s">
        <v>265</v>
      </c>
      <c r="B63" s="7" t="s">
        <v>266</v>
      </c>
      <c r="C63" s="4" t="s">
        <v>11</v>
      </c>
      <c r="D63" s="7" t="s">
        <v>267</v>
      </c>
      <c r="E63" s="4" t="s">
        <v>13</v>
      </c>
      <c r="F63" s="6" t="s">
        <v>25</v>
      </c>
      <c r="G63" s="7" t="s">
        <v>268</v>
      </c>
      <c r="H63" s="12" t="s">
        <v>269</v>
      </c>
    </row>
    <row r="64" spans="1:8" ht="44" customHeight="1" x14ac:dyDescent="0.2">
      <c r="A64" s="2" t="s">
        <v>270</v>
      </c>
      <c r="B64" s="3" t="s">
        <v>271</v>
      </c>
      <c r="C64" s="4" t="s">
        <v>11</v>
      </c>
      <c r="D64" s="3" t="s">
        <v>272</v>
      </c>
      <c r="E64" s="8" t="s">
        <v>24</v>
      </c>
      <c r="F64" s="2" t="s">
        <v>25</v>
      </c>
      <c r="G64" s="3" t="s">
        <v>273</v>
      </c>
      <c r="H64" s="12" t="s">
        <v>269</v>
      </c>
    </row>
    <row r="65" spans="1:8" ht="44" customHeight="1" x14ac:dyDescent="0.2">
      <c r="A65" s="6" t="s">
        <v>274</v>
      </c>
      <c r="B65" s="7" t="s">
        <v>275</v>
      </c>
      <c r="C65" s="4" t="s">
        <v>11</v>
      </c>
      <c r="D65" s="7" t="s">
        <v>276</v>
      </c>
      <c r="E65" s="4" t="s">
        <v>13</v>
      </c>
      <c r="F65" s="6" t="s">
        <v>25</v>
      </c>
      <c r="G65" s="7" t="s">
        <v>277</v>
      </c>
      <c r="H65" s="12" t="s">
        <v>269</v>
      </c>
    </row>
    <row r="66" spans="1:8" ht="44" customHeight="1" x14ac:dyDescent="0.2">
      <c r="A66" s="2" t="s">
        <v>278</v>
      </c>
      <c r="B66" s="3" t="s">
        <v>279</v>
      </c>
      <c r="C66" s="4" t="s">
        <v>11</v>
      </c>
      <c r="D66" s="3" t="s">
        <v>280</v>
      </c>
      <c r="E66" s="4" t="s">
        <v>13</v>
      </c>
      <c r="F66" s="2" t="s">
        <v>25</v>
      </c>
      <c r="G66" s="3" t="s">
        <v>281</v>
      </c>
      <c r="H66" s="12" t="s">
        <v>269</v>
      </c>
    </row>
    <row r="67" spans="1:8" ht="44" customHeight="1" x14ac:dyDescent="0.2">
      <c r="A67" s="6" t="s">
        <v>282</v>
      </c>
      <c r="B67" s="7" t="s">
        <v>283</v>
      </c>
      <c r="C67" s="4" t="s">
        <v>11</v>
      </c>
      <c r="D67" s="7" t="s">
        <v>284</v>
      </c>
      <c r="E67" s="8" t="s">
        <v>24</v>
      </c>
      <c r="F67" s="6" t="s">
        <v>25</v>
      </c>
      <c r="G67" s="7" t="s">
        <v>285</v>
      </c>
      <c r="H67" s="12" t="s">
        <v>269</v>
      </c>
    </row>
    <row r="68" spans="1:8" ht="44" customHeight="1" x14ac:dyDescent="0.2">
      <c r="A68" s="2" t="s">
        <v>286</v>
      </c>
      <c r="B68" s="3" t="s">
        <v>287</v>
      </c>
      <c r="C68" s="4" t="s">
        <v>11</v>
      </c>
      <c r="D68" s="3" t="s">
        <v>288</v>
      </c>
      <c r="E68" s="4" t="s">
        <v>13</v>
      </c>
      <c r="F68" s="2" t="s">
        <v>25</v>
      </c>
      <c r="G68" s="3" t="s">
        <v>289</v>
      </c>
      <c r="H68" s="12" t="s">
        <v>269</v>
      </c>
    </row>
    <row r="69" spans="1:8" ht="44" customHeight="1" x14ac:dyDescent="0.2">
      <c r="A69" s="6" t="s">
        <v>290</v>
      </c>
      <c r="B69" s="7" t="s">
        <v>291</v>
      </c>
      <c r="C69" s="4" t="s">
        <v>11</v>
      </c>
      <c r="D69" s="7" t="s">
        <v>292</v>
      </c>
      <c r="E69" s="4" t="s">
        <v>13</v>
      </c>
      <c r="F69" s="6" t="s">
        <v>25</v>
      </c>
      <c r="G69" s="7" t="s">
        <v>293</v>
      </c>
      <c r="H69" s="12" t="s">
        <v>269</v>
      </c>
    </row>
    <row r="70" spans="1:8" ht="44" customHeight="1" x14ac:dyDescent="0.2">
      <c r="A70" s="2" t="s">
        <v>294</v>
      </c>
      <c r="B70" s="3" t="s">
        <v>295</v>
      </c>
      <c r="C70" s="4" t="s">
        <v>11</v>
      </c>
      <c r="D70" s="3" t="s">
        <v>296</v>
      </c>
      <c r="E70" s="9" t="s">
        <v>107</v>
      </c>
      <c r="F70" s="2" t="s">
        <v>25</v>
      </c>
      <c r="G70" s="3" t="s">
        <v>297</v>
      </c>
      <c r="H70" s="12" t="s">
        <v>269</v>
      </c>
    </row>
    <row r="71" spans="1:8" ht="44" customHeight="1" x14ac:dyDescent="0.2">
      <c r="A71" s="6" t="s">
        <v>298</v>
      </c>
      <c r="B71" s="7" t="s">
        <v>299</v>
      </c>
      <c r="C71" s="4" t="s">
        <v>11</v>
      </c>
      <c r="D71" s="7" t="s">
        <v>300</v>
      </c>
      <c r="E71" s="8" t="s">
        <v>24</v>
      </c>
      <c r="F71" s="6" t="s">
        <v>25</v>
      </c>
      <c r="G71" s="7" t="s">
        <v>301</v>
      </c>
      <c r="H71" s="12" t="s">
        <v>269</v>
      </c>
    </row>
    <row r="72" spans="1:8" ht="44" customHeight="1" x14ac:dyDescent="0.2">
      <c r="A72" s="2" t="s">
        <v>302</v>
      </c>
      <c r="B72" s="3" t="s">
        <v>303</v>
      </c>
      <c r="C72" s="4" t="s">
        <v>11</v>
      </c>
      <c r="D72" s="3" t="s">
        <v>304</v>
      </c>
      <c r="E72" s="4" t="s">
        <v>13</v>
      </c>
      <c r="F72" s="2" t="s">
        <v>159</v>
      </c>
      <c r="G72" s="3" t="s">
        <v>305</v>
      </c>
      <c r="H72" s="12" t="s">
        <v>269</v>
      </c>
    </row>
    <row r="73" spans="1:8" ht="44" customHeight="1" x14ac:dyDescent="0.2">
      <c r="A73" s="6" t="s">
        <v>306</v>
      </c>
      <c r="B73" s="7" t="s">
        <v>307</v>
      </c>
      <c r="C73" s="4" t="s">
        <v>11</v>
      </c>
      <c r="D73" s="7" t="s">
        <v>308</v>
      </c>
      <c r="E73" s="8" t="s">
        <v>24</v>
      </c>
      <c r="F73" s="6" t="s">
        <v>25</v>
      </c>
      <c r="G73" s="7" t="s">
        <v>309</v>
      </c>
      <c r="H73" s="12" t="s">
        <v>269</v>
      </c>
    </row>
    <row r="74" spans="1:8" ht="44" customHeight="1" x14ac:dyDescent="0.2">
      <c r="A74" s="2" t="s">
        <v>310</v>
      </c>
      <c r="B74" s="3" t="s">
        <v>311</v>
      </c>
      <c r="C74" s="4" t="s">
        <v>11</v>
      </c>
      <c r="D74" s="3" t="s">
        <v>312</v>
      </c>
      <c r="E74" s="8" t="s">
        <v>24</v>
      </c>
      <c r="F74" s="2" t="s">
        <v>68</v>
      </c>
      <c r="G74" s="3" t="s">
        <v>313</v>
      </c>
      <c r="H74" s="12" t="s">
        <v>269</v>
      </c>
    </row>
    <row r="75" spans="1:8" ht="44" customHeight="1" x14ac:dyDescent="0.2">
      <c r="A75" s="6" t="s">
        <v>314</v>
      </c>
      <c r="B75" s="7" t="s">
        <v>315</v>
      </c>
      <c r="C75" s="4" t="s">
        <v>11</v>
      </c>
      <c r="D75" s="7" t="s">
        <v>316</v>
      </c>
      <c r="E75" s="4" t="s">
        <v>13</v>
      </c>
      <c r="F75" s="6" t="s">
        <v>25</v>
      </c>
      <c r="G75" s="7" t="s">
        <v>317</v>
      </c>
      <c r="H75" s="12" t="s">
        <v>269</v>
      </c>
    </row>
    <row r="76" spans="1:8" ht="44" customHeight="1" x14ac:dyDescent="0.2">
      <c r="A76" s="2" t="s">
        <v>318</v>
      </c>
      <c r="B76" s="3" t="s">
        <v>319</v>
      </c>
      <c r="C76" s="4" t="s">
        <v>11</v>
      </c>
      <c r="D76" s="3" t="s">
        <v>320</v>
      </c>
      <c r="E76" s="4" t="s">
        <v>13</v>
      </c>
      <c r="F76" s="2" t="s">
        <v>25</v>
      </c>
      <c r="G76" s="3" t="s">
        <v>321</v>
      </c>
      <c r="H76" s="12" t="s">
        <v>269</v>
      </c>
    </row>
    <row r="77" spans="1:8" ht="44" customHeight="1" x14ac:dyDescent="0.2">
      <c r="A77" s="6" t="s">
        <v>322</v>
      </c>
      <c r="B77" s="7" t="s">
        <v>323</v>
      </c>
      <c r="C77" s="4" t="s">
        <v>11</v>
      </c>
      <c r="D77" s="7" t="s">
        <v>324</v>
      </c>
      <c r="E77" s="4" t="s">
        <v>13</v>
      </c>
      <c r="F77" s="6" t="s">
        <v>68</v>
      </c>
      <c r="G77" s="7" t="s">
        <v>325</v>
      </c>
      <c r="H77" s="12" t="s">
        <v>269</v>
      </c>
    </row>
    <row r="78" spans="1:8" ht="44" customHeight="1" x14ac:dyDescent="0.2">
      <c r="A78" s="2" t="s">
        <v>326</v>
      </c>
      <c r="B78" s="3" t="s">
        <v>327</v>
      </c>
      <c r="C78" s="4" t="s">
        <v>11</v>
      </c>
      <c r="D78" s="3" t="s">
        <v>328</v>
      </c>
      <c r="E78" s="8" t="s">
        <v>24</v>
      </c>
      <c r="F78" s="2" t="s">
        <v>68</v>
      </c>
      <c r="G78" s="3" t="s">
        <v>329</v>
      </c>
      <c r="H78" s="12" t="s">
        <v>269</v>
      </c>
    </row>
    <row r="79" spans="1:8" ht="44" customHeight="1" x14ac:dyDescent="0.2">
      <c r="A79" s="6" t="s">
        <v>330</v>
      </c>
      <c r="B79" s="7" t="s">
        <v>331</v>
      </c>
      <c r="C79" s="4" t="s">
        <v>11</v>
      </c>
      <c r="D79" s="7" t="s">
        <v>332</v>
      </c>
      <c r="E79" s="4" t="s">
        <v>13</v>
      </c>
      <c r="F79" s="6" t="s">
        <v>25</v>
      </c>
      <c r="G79" s="7" t="s">
        <v>333</v>
      </c>
      <c r="H79" s="12" t="s">
        <v>269</v>
      </c>
    </row>
    <row r="80" spans="1:8" ht="44" customHeight="1" x14ac:dyDescent="0.2">
      <c r="A80" s="2" t="s">
        <v>334</v>
      </c>
      <c r="B80" s="3" t="s">
        <v>335</v>
      </c>
      <c r="C80" s="4" t="s">
        <v>11</v>
      </c>
      <c r="D80" s="3" t="s">
        <v>336</v>
      </c>
      <c r="E80" s="4" t="s">
        <v>13</v>
      </c>
      <c r="F80" s="2" t="s">
        <v>25</v>
      </c>
      <c r="G80" s="3" t="s">
        <v>337</v>
      </c>
      <c r="H80" s="12" t="s">
        <v>269</v>
      </c>
    </row>
    <row r="81" spans="1:8" ht="44" customHeight="1" x14ac:dyDescent="0.2">
      <c r="A81" s="6" t="s">
        <v>338</v>
      </c>
      <c r="B81" s="7" t="s">
        <v>339</v>
      </c>
      <c r="C81" s="4" t="s">
        <v>11</v>
      </c>
      <c r="D81" s="7" t="s">
        <v>340</v>
      </c>
      <c r="E81" s="4" t="s">
        <v>13</v>
      </c>
      <c r="F81" s="6" t="s">
        <v>25</v>
      </c>
      <c r="G81" s="7" t="s">
        <v>341</v>
      </c>
      <c r="H81" s="12" t="s">
        <v>269</v>
      </c>
    </row>
    <row r="82" spans="1:8" ht="44" customHeight="1" x14ac:dyDescent="0.2">
      <c r="A82" s="2" t="s">
        <v>342</v>
      </c>
      <c r="B82" s="3" t="s">
        <v>343</v>
      </c>
      <c r="C82" s="4" t="s">
        <v>11</v>
      </c>
      <c r="D82" s="3" t="s">
        <v>344</v>
      </c>
      <c r="E82" s="8" t="s">
        <v>24</v>
      </c>
      <c r="F82" s="2" t="s">
        <v>25</v>
      </c>
      <c r="G82" s="3" t="s">
        <v>345</v>
      </c>
      <c r="H82" s="12" t="s">
        <v>269</v>
      </c>
    </row>
    <row r="83" spans="1:8" ht="44" customHeight="1" x14ac:dyDescent="0.2">
      <c r="A83" s="6" t="s">
        <v>346</v>
      </c>
      <c r="B83" s="7" t="s">
        <v>347</v>
      </c>
      <c r="C83" s="4" t="s">
        <v>11</v>
      </c>
      <c r="D83" s="7" t="s">
        <v>348</v>
      </c>
      <c r="E83" s="4" t="s">
        <v>13</v>
      </c>
      <c r="F83" s="6" t="s">
        <v>25</v>
      </c>
      <c r="G83" s="7" t="s">
        <v>349</v>
      </c>
      <c r="H83" s="12" t="s">
        <v>269</v>
      </c>
    </row>
    <row r="84" spans="1:8" ht="44" customHeight="1" x14ac:dyDescent="0.2">
      <c r="A84" s="2" t="s">
        <v>350</v>
      </c>
      <c r="B84" s="3" t="s">
        <v>351</v>
      </c>
      <c r="C84" s="4" t="s">
        <v>11</v>
      </c>
      <c r="D84" s="3" t="s">
        <v>352</v>
      </c>
      <c r="E84" s="4" t="s">
        <v>13</v>
      </c>
      <c r="F84" s="2" t="s">
        <v>25</v>
      </c>
      <c r="G84" s="3" t="s">
        <v>353</v>
      </c>
      <c r="H84" s="12" t="s">
        <v>269</v>
      </c>
    </row>
    <row r="85" spans="1:8" ht="44" customHeight="1" x14ac:dyDescent="0.2">
      <c r="A85" s="6" t="s">
        <v>354</v>
      </c>
      <c r="B85" s="7" t="s">
        <v>355</v>
      </c>
      <c r="C85" s="4" t="s">
        <v>11</v>
      </c>
      <c r="D85" s="7" t="s">
        <v>356</v>
      </c>
      <c r="E85" s="4" t="s">
        <v>13</v>
      </c>
      <c r="F85" s="6" t="s">
        <v>25</v>
      </c>
      <c r="G85" s="7" t="s">
        <v>357</v>
      </c>
      <c r="H85" s="12" t="s">
        <v>269</v>
      </c>
    </row>
    <row r="86" spans="1:8" ht="44" customHeight="1" x14ac:dyDescent="0.2">
      <c r="A86" s="2" t="s">
        <v>358</v>
      </c>
      <c r="B86" s="3" t="s">
        <v>359</v>
      </c>
      <c r="C86" s="4" t="s">
        <v>11</v>
      </c>
      <c r="D86" s="3" t="s">
        <v>360</v>
      </c>
      <c r="E86" s="4" t="s">
        <v>13</v>
      </c>
      <c r="F86" s="2" t="s">
        <v>25</v>
      </c>
      <c r="G86" s="3" t="s">
        <v>361</v>
      </c>
      <c r="H86" s="12" t="s">
        <v>269</v>
      </c>
    </row>
    <row r="87" spans="1:8" ht="44" customHeight="1" x14ac:dyDescent="0.2">
      <c r="A87" s="6" t="s">
        <v>362</v>
      </c>
      <c r="B87" s="7" t="s">
        <v>363</v>
      </c>
      <c r="C87" s="4" t="s">
        <v>11</v>
      </c>
      <c r="D87" s="7" t="s">
        <v>364</v>
      </c>
      <c r="E87" s="4" t="s">
        <v>13</v>
      </c>
      <c r="F87" s="6" t="s">
        <v>25</v>
      </c>
      <c r="G87" s="7" t="s">
        <v>365</v>
      </c>
      <c r="H87" s="12" t="s">
        <v>269</v>
      </c>
    </row>
    <row r="88" spans="1:8" ht="44" customHeight="1" x14ac:dyDescent="0.2">
      <c r="A88" s="2" t="s">
        <v>366</v>
      </c>
      <c r="B88" s="3" t="s">
        <v>367</v>
      </c>
      <c r="C88" s="4" t="s">
        <v>11</v>
      </c>
      <c r="D88" s="3" t="s">
        <v>368</v>
      </c>
      <c r="E88" s="8" t="s">
        <v>24</v>
      </c>
      <c r="F88" s="2" t="s">
        <v>25</v>
      </c>
      <c r="G88" s="3" t="s">
        <v>369</v>
      </c>
      <c r="H88" s="12" t="s">
        <v>269</v>
      </c>
    </row>
    <row r="89" spans="1:8" ht="44" customHeight="1" x14ac:dyDescent="0.2">
      <c r="A89" s="6" t="s">
        <v>370</v>
      </c>
      <c r="B89" s="7" t="s">
        <v>371</v>
      </c>
      <c r="C89" s="4" t="s">
        <v>11</v>
      </c>
      <c r="D89" s="7" t="s">
        <v>372</v>
      </c>
      <c r="E89" s="8" t="s">
        <v>24</v>
      </c>
      <c r="F89" s="6" t="s">
        <v>25</v>
      </c>
      <c r="G89" s="7" t="s">
        <v>373</v>
      </c>
      <c r="H89" s="12" t="s">
        <v>269</v>
      </c>
    </row>
    <row r="90" spans="1:8" ht="44" customHeight="1" x14ac:dyDescent="0.2">
      <c r="A90" s="2" t="s">
        <v>374</v>
      </c>
      <c r="B90" s="3" t="s">
        <v>375</v>
      </c>
      <c r="C90" s="4" t="s">
        <v>11</v>
      </c>
      <c r="D90" s="3" t="s">
        <v>376</v>
      </c>
      <c r="E90" s="8" t="s">
        <v>24</v>
      </c>
      <c r="F90" s="2" t="s">
        <v>25</v>
      </c>
      <c r="G90" s="3" t="s">
        <v>377</v>
      </c>
      <c r="H90" s="12" t="s">
        <v>269</v>
      </c>
    </row>
    <row r="91" spans="1:8" ht="44" customHeight="1" x14ac:dyDescent="0.2">
      <c r="A91" s="6" t="s">
        <v>378</v>
      </c>
      <c r="B91" s="7" t="s">
        <v>379</v>
      </c>
      <c r="C91" s="4" t="s">
        <v>11</v>
      </c>
      <c r="D91" s="7" t="s">
        <v>380</v>
      </c>
      <c r="E91" s="4" t="s">
        <v>13</v>
      </c>
      <c r="F91" s="6" t="s">
        <v>25</v>
      </c>
      <c r="G91" s="7" t="s">
        <v>381</v>
      </c>
      <c r="H91" s="12" t="s">
        <v>269</v>
      </c>
    </row>
    <row r="92" spans="1:8" ht="44" customHeight="1" x14ac:dyDescent="0.2">
      <c r="A92" s="2" t="s">
        <v>382</v>
      </c>
      <c r="B92" s="3" t="s">
        <v>383</v>
      </c>
      <c r="C92" s="4" t="s">
        <v>11</v>
      </c>
      <c r="D92" s="3" t="s">
        <v>384</v>
      </c>
      <c r="E92" s="4" t="s">
        <v>13</v>
      </c>
      <c r="F92" s="2" t="s">
        <v>93</v>
      </c>
      <c r="G92" s="3" t="s">
        <v>385</v>
      </c>
      <c r="H92" s="12" t="s">
        <v>269</v>
      </c>
    </row>
    <row r="93" spans="1:8" ht="44" customHeight="1" x14ac:dyDescent="0.2">
      <c r="A93" s="6" t="s">
        <v>386</v>
      </c>
      <c r="B93" s="7" t="s">
        <v>387</v>
      </c>
      <c r="C93" s="4" t="s">
        <v>11</v>
      </c>
      <c r="D93" s="7" t="s">
        <v>388</v>
      </c>
      <c r="E93" s="4" t="s">
        <v>13</v>
      </c>
      <c r="F93" s="6" t="s">
        <v>25</v>
      </c>
      <c r="G93" s="7" t="s">
        <v>389</v>
      </c>
      <c r="H93" s="12" t="s">
        <v>269</v>
      </c>
    </row>
    <row r="94" spans="1:8" ht="44" customHeight="1" x14ac:dyDescent="0.2">
      <c r="A94" s="2" t="s">
        <v>390</v>
      </c>
      <c r="B94" s="3" t="s">
        <v>391</v>
      </c>
      <c r="C94" s="4" t="s">
        <v>11</v>
      </c>
      <c r="D94" s="3" t="s">
        <v>392</v>
      </c>
      <c r="E94" s="8" t="s">
        <v>24</v>
      </c>
      <c r="F94" s="2" t="s">
        <v>25</v>
      </c>
      <c r="G94" s="3" t="s">
        <v>393</v>
      </c>
      <c r="H94" s="12" t="s">
        <v>269</v>
      </c>
    </row>
    <row r="95" spans="1:8" ht="44" customHeight="1" x14ac:dyDescent="0.2">
      <c r="A95" s="6" t="s">
        <v>394</v>
      </c>
      <c r="B95" s="7" t="s">
        <v>395</v>
      </c>
      <c r="C95" s="4" t="s">
        <v>11</v>
      </c>
      <c r="D95" s="7" t="s">
        <v>396</v>
      </c>
      <c r="E95" s="8" t="s">
        <v>24</v>
      </c>
      <c r="F95" s="6" t="s">
        <v>25</v>
      </c>
      <c r="G95" s="7" t="s">
        <v>397</v>
      </c>
      <c r="H95" s="12" t="s">
        <v>269</v>
      </c>
    </row>
    <row r="96" spans="1:8" ht="44" customHeight="1" x14ac:dyDescent="0.2">
      <c r="A96" s="2" t="s">
        <v>398</v>
      </c>
      <c r="B96" s="3" t="s">
        <v>399</v>
      </c>
      <c r="C96" s="4" t="s">
        <v>11</v>
      </c>
      <c r="D96" s="3" t="s">
        <v>400</v>
      </c>
      <c r="E96" s="4" t="s">
        <v>13</v>
      </c>
      <c r="F96" s="2" t="s">
        <v>68</v>
      </c>
      <c r="G96" s="3" t="s">
        <v>401</v>
      </c>
      <c r="H96" s="12" t="s">
        <v>269</v>
      </c>
    </row>
  </sheetData>
  <autoFilter ref="A3:H3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showGridLines="0" workbookViewId="0"/>
  </sheetViews>
  <sheetFormatPr baseColWidth="10" defaultColWidth="8.83203125" defaultRowHeight="15" x14ac:dyDescent="0.2"/>
  <cols>
    <col min="1" max="1" width="10" customWidth="1"/>
    <col min="2" max="2" width="22" customWidth="1"/>
    <col min="3" max="4" width="18" customWidth="1"/>
    <col min="5" max="5" width="54" customWidth="1"/>
  </cols>
  <sheetData>
    <row r="1" spans="1:5" ht="30" customHeight="1" x14ac:dyDescent="0.2">
      <c r="A1" s="44" t="s">
        <v>402</v>
      </c>
      <c r="B1" s="43"/>
      <c r="C1" s="43"/>
      <c r="D1" s="43"/>
      <c r="E1" s="43"/>
    </row>
    <row r="2" spans="1:5" ht="18" customHeight="1" x14ac:dyDescent="0.2">
      <c r="A2" s="42" t="s">
        <v>403</v>
      </c>
      <c r="B2" s="43"/>
      <c r="C2" s="43"/>
      <c r="D2" s="43"/>
      <c r="E2" s="43"/>
    </row>
    <row r="4" spans="1:5" ht="22" customHeight="1" x14ac:dyDescent="0.2">
      <c r="A4" s="13" t="s">
        <v>404</v>
      </c>
    </row>
    <row r="5" spans="1:5" x14ac:dyDescent="0.2">
      <c r="A5" s="1" t="s">
        <v>405</v>
      </c>
      <c r="B5" s="1" t="s">
        <v>406</v>
      </c>
      <c r="C5" s="1" t="s">
        <v>407</v>
      </c>
      <c r="D5" s="1" t="s">
        <v>408</v>
      </c>
      <c r="E5" s="1" t="s">
        <v>409</v>
      </c>
    </row>
    <row r="6" spans="1:5" ht="22" customHeight="1" x14ac:dyDescent="0.2">
      <c r="A6" s="14" t="s">
        <v>13</v>
      </c>
      <c r="B6" s="15">
        <f>COUNTIF('Statement of Applicability'!E4:E96,"Implemented")</f>
        <v>64</v>
      </c>
      <c r="C6" s="16">
        <f>B6/93*100</f>
        <v>68.817204301075279</v>
      </c>
      <c r="D6" s="17" t="s">
        <v>410</v>
      </c>
      <c r="E6" s="17" t="s">
        <v>411</v>
      </c>
    </row>
    <row r="7" spans="1:5" ht="22" customHeight="1" x14ac:dyDescent="0.2">
      <c r="A7" s="18" t="s">
        <v>24</v>
      </c>
      <c r="B7" s="19">
        <f>COUNTIF('Statement of Applicability'!E4:E96,"Partially Implemented")</f>
        <v>25</v>
      </c>
      <c r="C7" s="20">
        <f>B7/93*100</f>
        <v>26.881720430107524</v>
      </c>
      <c r="D7" s="21" t="s">
        <v>412</v>
      </c>
      <c r="E7" s="21" t="s">
        <v>413</v>
      </c>
    </row>
    <row r="8" spans="1:5" ht="22" customHeight="1" x14ac:dyDescent="0.2">
      <c r="A8" s="22" t="s">
        <v>107</v>
      </c>
      <c r="B8" s="23">
        <f>COUNTIF('Statement of Applicability'!E4:E96,"Not Implemented")</f>
        <v>4</v>
      </c>
      <c r="C8" s="24">
        <f>B8/93*100</f>
        <v>4.3010752688172049</v>
      </c>
      <c r="D8" s="25" t="s">
        <v>414</v>
      </c>
      <c r="E8" s="25" t="s">
        <v>415</v>
      </c>
    </row>
    <row r="9" spans="1:5" ht="22" customHeight="1" x14ac:dyDescent="0.2">
      <c r="A9" s="26" t="s">
        <v>416</v>
      </c>
      <c r="B9" s="5">
        <f>COUNTIF('Statement of Applicability'!E4:E96,"Not Applicable")</f>
        <v>0</v>
      </c>
      <c r="C9" s="27">
        <f>B9/93*100</f>
        <v>0</v>
      </c>
      <c r="D9" s="28" t="s">
        <v>417</v>
      </c>
      <c r="E9" s="28" t="s">
        <v>418</v>
      </c>
    </row>
    <row r="10" spans="1:5" ht="22" customHeight="1" x14ac:dyDescent="0.2">
      <c r="A10" s="29" t="s">
        <v>419</v>
      </c>
      <c r="B10" s="30">
        <f>SUM(B6:B9)</f>
        <v>93</v>
      </c>
      <c r="C10" s="30" t="s">
        <v>420</v>
      </c>
      <c r="D10" s="31"/>
      <c r="E10" s="31" t="s">
        <v>421</v>
      </c>
    </row>
    <row r="13" spans="1:5" ht="22" customHeight="1" x14ac:dyDescent="0.2">
      <c r="A13" s="13" t="s">
        <v>422</v>
      </c>
    </row>
    <row r="14" spans="1:5" x14ac:dyDescent="0.2">
      <c r="A14" s="1" t="s">
        <v>423</v>
      </c>
      <c r="B14" s="1" t="s">
        <v>424</v>
      </c>
      <c r="C14" s="1" t="s">
        <v>13</v>
      </c>
      <c r="D14" s="1" t="s">
        <v>24</v>
      </c>
      <c r="E14" s="1" t="s">
        <v>107</v>
      </c>
    </row>
    <row r="15" spans="1:5" ht="20" customHeight="1" x14ac:dyDescent="0.2">
      <c r="A15" s="32" t="s">
        <v>16</v>
      </c>
      <c r="B15" s="33">
        <f>COUNTIF('Statement of Applicability'!H4:H96,"Organisational")</f>
        <v>37</v>
      </c>
      <c r="C15" s="33">
        <f>COUNTIFS('Statement of Applicability'!H4:H96,"Organisational",'Statement of Applicability'!E4:E96,"Implemented")</f>
        <v>22</v>
      </c>
      <c r="D15" s="33">
        <f>COUNTIFS('Statement of Applicability'!H4:H96,"Organisational",'Statement of Applicability'!E4:E96,"Partially Implemented")</f>
        <v>12</v>
      </c>
      <c r="E15" s="33">
        <f>COUNTIFS('Statement of Applicability'!H4:H96,"Organisational",'Statement of Applicability'!E4:E96,"Not Implemented")</f>
        <v>3</v>
      </c>
    </row>
    <row r="16" spans="1:5" ht="20" customHeight="1" x14ac:dyDescent="0.2">
      <c r="A16" s="34" t="s">
        <v>177</v>
      </c>
      <c r="B16" s="35">
        <f>COUNTIF('Statement of Applicability'!H4:H96,"People")</f>
        <v>8</v>
      </c>
      <c r="C16" s="35">
        <f>COUNTIFS('Statement of Applicability'!H4:H96,"People",'Statement of Applicability'!E4:E96,"Implemented")</f>
        <v>7</v>
      </c>
      <c r="D16" s="35">
        <f>COUNTIFS('Statement of Applicability'!H4:H96,"People",'Statement of Applicability'!E4:E96,"Partially Implemented")</f>
        <v>1</v>
      </c>
      <c r="E16" s="35">
        <f>COUNTIFS('Statement of Applicability'!H4:H96,"People",'Statement of Applicability'!E4:E96,"Not Implemented")</f>
        <v>0</v>
      </c>
    </row>
    <row r="17" spans="1:5" ht="20" customHeight="1" x14ac:dyDescent="0.2">
      <c r="A17" s="36" t="s">
        <v>212</v>
      </c>
      <c r="B17" s="37">
        <f>COUNTIF('Statement of Applicability'!H4:H96,"Physical")</f>
        <v>14</v>
      </c>
      <c r="C17" s="37">
        <f>COUNTIFS('Statement of Applicability'!H4:H96,"Physical",'Statement of Applicability'!E4:E96,"Implemented")</f>
        <v>14</v>
      </c>
      <c r="D17" s="37">
        <f>COUNTIFS('Statement of Applicability'!H4:H96,"Physical",'Statement of Applicability'!E4:E96,"Partially Implemented")</f>
        <v>0</v>
      </c>
      <c r="E17" s="37">
        <f>COUNTIFS('Statement of Applicability'!H4:H96,"Physical",'Statement of Applicability'!E4:E96,"Not Implemented")</f>
        <v>0</v>
      </c>
    </row>
    <row r="18" spans="1:5" ht="20" customHeight="1" x14ac:dyDescent="0.2">
      <c r="A18" s="38" t="s">
        <v>269</v>
      </c>
      <c r="B18" s="39">
        <f>COUNTIF('Statement of Applicability'!H4:H96,"Technological")</f>
        <v>34</v>
      </c>
      <c r="C18" s="39">
        <f>COUNTIFS('Statement of Applicability'!H4:H96,"Technological",'Statement of Applicability'!E4:E96,"Implemented")</f>
        <v>21</v>
      </c>
      <c r="D18" s="39">
        <f>COUNTIFS('Statement of Applicability'!H4:H96,"Technological",'Statement of Applicability'!E4:E96,"Partially Implemented")</f>
        <v>12</v>
      </c>
      <c r="E18" s="39">
        <f>COUNTIFS('Statement of Applicability'!H4:H96,"Technological",'Statement of Applicability'!E4:E96,"Not Implemented")</f>
        <v>1</v>
      </c>
    </row>
    <row r="21" spans="1:5" ht="24" customHeight="1" x14ac:dyDescent="0.2">
      <c r="A21" s="45" t="s">
        <v>425</v>
      </c>
      <c r="B21" s="43"/>
      <c r="C21" s="43"/>
      <c r="D21" s="43"/>
      <c r="E21" s="43"/>
    </row>
    <row r="22" spans="1:5" x14ac:dyDescent="0.2">
      <c r="A22" s="1" t="s">
        <v>426</v>
      </c>
      <c r="B22" s="1" t="s">
        <v>427</v>
      </c>
      <c r="C22" s="1" t="s">
        <v>428</v>
      </c>
      <c r="D22" s="1" t="s">
        <v>429</v>
      </c>
      <c r="E22" s="1" t="s">
        <v>430</v>
      </c>
    </row>
    <row r="23" spans="1:5" ht="38" customHeight="1" x14ac:dyDescent="0.2">
      <c r="A23" s="40" t="s">
        <v>40</v>
      </c>
      <c r="B23" s="2" t="s">
        <v>431</v>
      </c>
      <c r="C23" s="8" t="s">
        <v>24</v>
      </c>
      <c r="D23" s="4" t="s">
        <v>13</v>
      </c>
      <c r="E23" s="3" t="s">
        <v>432</v>
      </c>
    </row>
    <row r="24" spans="1:5" ht="38" customHeight="1" x14ac:dyDescent="0.2">
      <c r="A24" s="41" t="s">
        <v>109</v>
      </c>
      <c r="B24" s="6" t="s">
        <v>433</v>
      </c>
      <c r="C24" s="8" t="s">
        <v>24</v>
      </c>
      <c r="D24" s="9" t="s">
        <v>107</v>
      </c>
      <c r="E24" s="7" t="s">
        <v>434</v>
      </c>
    </row>
    <row r="25" spans="1:5" ht="38" customHeight="1" x14ac:dyDescent="0.2">
      <c r="A25" s="40" t="s">
        <v>133</v>
      </c>
      <c r="B25" s="2" t="s">
        <v>435</v>
      </c>
      <c r="C25" s="8" t="s">
        <v>24</v>
      </c>
      <c r="D25" s="9" t="s">
        <v>107</v>
      </c>
      <c r="E25" s="3" t="s">
        <v>436</v>
      </c>
    </row>
    <row r="26" spans="1:5" ht="38" customHeight="1" x14ac:dyDescent="0.2">
      <c r="A26" s="41" t="s">
        <v>161</v>
      </c>
      <c r="B26" s="6" t="s">
        <v>437</v>
      </c>
      <c r="C26" s="8" t="s">
        <v>107</v>
      </c>
      <c r="D26" s="8" t="s">
        <v>24</v>
      </c>
      <c r="E26" s="7" t="s">
        <v>438</v>
      </c>
    </row>
    <row r="27" spans="1:5" ht="38" customHeight="1" x14ac:dyDescent="0.2">
      <c r="A27" s="40" t="s">
        <v>294</v>
      </c>
      <c r="B27" s="2" t="s">
        <v>439</v>
      </c>
      <c r="C27" s="8" t="s">
        <v>24</v>
      </c>
      <c r="D27" s="9" t="s">
        <v>107</v>
      </c>
      <c r="E27" s="3" t="s">
        <v>440</v>
      </c>
    </row>
    <row r="28" spans="1:5" ht="38" customHeight="1" x14ac:dyDescent="0.2">
      <c r="A28" s="41" t="s">
        <v>362</v>
      </c>
      <c r="B28" s="6" t="s">
        <v>441</v>
      </c>
      <c r="C28" s="8" t="s">
        <v>24</v>
      </c>
      <c r="D28" s="4" t="s">
        <v>13</v>
      </c>
      <c r="E28" s="7" t="s">
        <v>442</v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 of Applicability</vt:lpstr>
      <vt:lpstr>SoA 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Afrid Shaik [Student-PECS]</cp:lastModifiedBy>
  <dcterms:created xsi:type="dcterms:W3CDTF">2026-04-05T11:27:21Z</dcterms:created>
  <dcterms:modified xsi:type="dcterms:W3CDTF">2026-04-05T12:16:16Z</dcterms:modified>
</cp:coreProperties>
</file>